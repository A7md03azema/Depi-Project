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32a6aa2e6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A4" sheetId="1" r:id="Rf740f2d6b0c44db1"/>
    <x:sheet xmlns:r="http://schemas.openxmlformats.org/officeDocument/2006/relationships" name="Measurements" sheetId="2" r:id="R291dd7afc7a74335"/>
    <x:sheet xmlns:r="http://schemas.openxmlformats.org/officeDocument/2006/relationships" name="Validation Targets" sheetId="3" r:id="R07cfd1f387294864"/>
    <x:sheet xmlns:r="http://schemas.openxmlformats.org/officeDocument/2006/relationships" name="How to use" sheetId="4" r:id="R20061612ec28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%"/>
    <x:numFmt numFmtId="202" formatCode="0.0 &quot;min&quot;"/>
    <x:numFmt numFmtId="203" formatCode="0.0"/>
    <x:numFmt numFmtId="204" formatCode="0.00"/>
    <x:numFmt numFmtId="205" formatCode="0"/>
  </x:numFmts>
  <x:fonts count="6">
    <x:font>
      <x:sz val="11"/>
      <x:name val="Carlito"/>
    </x:font>
    <x:font>
      <x:b/>
      <x:sz val="15"/>
      <x:color rgb="FFFFFFFF"/>
      <x:name val="Carlito"/>
    </x:font>
    <x:font>
      <x:sz val="11"/>
      <x:color rgb="FF576679"/>
      <x:name val="Carlito"/>
    </x:font>
    <x:font>
      <x:b/>
      <x:sz val="11"/>
      <x:color rgb="FF0F2035"/>
      <x:name val="Carlito"/>
    </x:font>
    <x:font>
      <x:b/>
      <x:sz val="11"/>
      <x:color rgb="FFFFFFFF"/>
      <x:name val="Carlito"/>
    </x:font>
    <x:font>
      <x:b/>
      <x:sz val="11"/>
      <x:color rgb="FF70470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2035"/>
      </x:patternFill>
    </x:fill>
    <x:fill>
      <x:patternFill patternType="solid">
        <x:fgColor rgb="FFEAF4F5"/>
      </x:patternFill>
    </x:fill>
    <x:fill>
      <x:patternFill patternType="solid">
        <x:fgColor rgb="FF087C87"/>
      </x:patternFill>
    </x:fill>
    <x:fill>
      <x:patternFill patternType="solid">
        <x:fgColor rgb="FFF1F7F8"/>
      </x:patternFill>
    </x:fill>
    <x:fill>
      <x:patternFill patternType="solid">
        <x:fgColor rgb="FFFFF3D7"/>
      </x:patternFill>
    </x:fill>
    <x:fill>
      <x:patternFill patternType="solid">
        <x:fgColor rgb="FFF5F8FA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7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7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42318"/>
      </x:font>
      <x:fill>
        <x:patternFill patternType="solid">
          <x:bgColor rgb="FFFDE4E4"/>
        </x:patternFill>
      </x:fill>
    </x:dxf>
    <x:dxf>
      <x:font>
        <x:color rgb="FF127349"/>
      </x:font>
      <x:fill>
        <x:patternFill patternType="solid">
          <x:bgColor rgb="FFDCEF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fc29fd2de4cdf" /><Relationship Type="http://schemas.openxmlformats.org/officeDocument/2006/relationships/theme" Target="/xl/theme/theme1.xml" Id="R30f5265a0f1b47f4" /><Relationship Type="http://schemas.openxmlformats.org/officeDocument/2006/relationships/sharedStrings" Target="/xl/sharedStrings.xml" Id="Rf23255277b50495e" /><Relationship Type="http://schemas.openxmlformats.org/officeDocument/2006/relationships/worksheet" Target="/xl/worksheets/sheet1.xml" Id="Rf740f2d6b0c44db1" /><Relationship Type="http://schemas.openxmlformats.org/officeDocument/2006/relationships/worksheet" Target="/xl/worksheets/sheet2.xml" Id="R291dd7afc7a74335" /><Relationship Type="http://schemas.openxmlformats.org/officeDocument/2006/relationships/worksheet" Target="/xl/worksheets/sheet3.xml" Id="R07cfd1f387294864" /><Relationship Type="http://schemas.openxmlformats.org/officeDocument/2006/relationships/worksheet" Target="/xl/worksheets/sheet4.xml" Id="R20061612ec284b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3" hidden="0" customWidth="1"/>
    <x:col min="3" max="3" width="31" hidden="0" customWidth="1"/>
    <x:col min="4" max="4" width="13" hidden="0" customWidth="1"/>
    <x:col min="5" max="5" width="20" hidden="0" customWidth="1"/>
    <x:col min="6" max="6" width="17" hidden="0" customWidth="1"/>
    <x:col min="7" max="7" width="16" hidden="0" customWidth="1"/>
    <x:col min="8" max="8" width="41" hidden="0" customWidth="1"/>
    <x:col min="9" max="9" width="19" hidden="0" customWidth="1"/>
  </x:cols>
  <x:sheetData>
    <x:row r="1" ht="35" customHeight="1">
      <x:c r="A1" s="4" t="str">
        <x:v>ResearchVoice AI | DEPI KPI SCORECARD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Planning targets only — measured actuals remain Pending until synthetic trials are recorded.</x:v>
      </x:c>
    </x:row>
    <x:row r="4" ht="26" customHeight="1">
      <x:c r="A4" s="11" t="str">
        <x:v>TEMPLATE A4  •  Baseline → Target → Actual  |  Outcome / Cost / Workforce</x:v>
      </x:c>
      <x:c r="B4" s="11"/>
      <x:c r="C4" s="11"/>
      <x:c r="D4" s="11"/>
      <x:c r="E4" s="11"/>
      <x:c r="F4" s="11"/>
      <x:c r="G4" s="11"/>
      <x:c r="H4" s="11"/>
      <x:c r="I4" s="11"/>
    </x:row>
    <x:row r="5" ht="35" customHeight="1">
      <x:c r="A5" s="17" t="str">
        <x:v>KPI</x:v>
      </x:c>
      <x:c r="B5" s="17" t="str">
        <x:v>Lens</x:v>
      </x:c>
      <x:c r="C5" s="17" t="str">
        <x:v>Planning baseline (NOT measured)</x:v>
      </x:c>
      <x:c r="D5" s="17" t="str">
        <x:v>Target</x:v>
      </x:c>
      <x:c r="E5" s="17" t="str">
        <x:v>Measured manual baseline</x:v>
      </x:c>
      <x:c r="F5" s="17" t="str">
        <x:v>Actual from trials</x:v>
      </x:c>
      <x:c r="G5" s="17" t="str">
        <x:v>Trials / sample</x:v>
      </x:c>
      <x:c r="H5" s="17" t="str">
        <x:v>Measurement rule</x:v>
      </x:c>
      <x:c r="I5" s="17" t="str">
        <x:v>Status</x:v>
      </x:c>
    </x:row>
    <x:row r="6" ht="49" customHeight="1">
      <x:c r="A6" s="24" t="str">
        <x:v>Mean minutes to approved XLSX</x:v>
      </x:c>
      <x:c r="B6" s="24" t="str">
        <x:v>Cost</x:v>
      </x:c>
      <x:c r="C6" s="24" t="str">
        <x:v>8 min / visit — ASSUMPTION</x:v>
      </x:c>
      <x:c r="D6" s="36" t="n">
        <x:v>5</x:v>
      </x:c>
      <x:c r="E6" s="36" t="str">
        <x:f>IF(COUNT(Measurements!C6:C35)=0,"Pending",AVERAGE(Measurements!C6:C35))</x:f>
        <x:v>Pending</x:v>
      </x:c>
      <x:c r="F6" s="36" t="str">
        <x:f>IF(COUNT(Measurements!D6:D35)=0,"Pending",AVERAGE(Measurements!D6:D35))</x:f>
        <x:v>Pending</x:v>
      </x:c>
      <x:c r="G6" s="24" t="n">
        <x:f>COUNT(Measurements!D6:D35)</x:f>
        <x:v>0</x:v>
      </x:c>
      <x:c r="H6" s="24" t="str">
        <x:v>Paired timer on 10+ synthetic visits</x:v>
      </x:c>
      <x:c r="I6" s="24" t="str">
        <x:f>IF(ISNUMBER(F6),IF(F6&lt;=D6,"Met","Below target"),"Pending")</x:f>
        <x:v>Pending</x:v>
      </x:c>
    </x:row>
    <x:row r="7" ht="49" customHeight="1">
      <x:c r="A7" s="25" t="str">
        <x:v>Exact field agreement before corrections</x:v>
      </x:c>
      <x:c r="B7" s="25" t="str">
        <x:v>Outcomes</x:v>
      </x:c>
      <x:c r="C7" s="25" t="str">
        <x:v>Not measured</x:v>
      </x:c>
      <x:c r="D7" s="28" t="n">
        <x:v>0.95</x:v>
      </x:c>
      <x:c r="E7" s="25" t="str">
        <x:v>Not measured</x:v>
      </x:c>
      <x:c r="F7" s="32" t="str">
        <x:f>IF(SUM(Measurements!E6:E35)=0,"Pending",SUM(Measurements!F6:F35)/SUM(Measurements!E6:E35))</x:f>
        <x:v>Pending</x:v>
      </x:c>
      <x:c r="G7" s="25" t="n">
        <x:f>SUM(Measurements!E6:E35)</x:f>
        <x:v>0</x:v>
      </x:c>
      <x:c r="H7" s="25" t="str">
        <x:v>Correct pre-review fields / eligible fields</x:v>
      </x:c>
      <x:c r="I7" s="25" t="str">
        <x:f>IF(ISNUMBER(F7),IF(F7&gt;=D7,"Met","Below target"),"Pending")</x:f>
        <x:v>Pending</x:v>
      </x:c>
    </x:row>
    <x:row r="8" ht="49" customHeight="1">
      <x:c r="A8" s="24" t="str">
        <x:v>Manual correction rate</x:v>
      </x:c>
      <x:c r="B8" s="24" t="str">
        <x:v>Outcomes</x:v>
      </x:c>
      <x:c r="C8" s="24" t="str">
        <x:v>Not measured</x:v>
      </x:c>
      <x:c r="D8" s="29" t="n">
        <x:v>0.15</x:v>
      </x:c>
      <x:c r="E8" s="24" t="str">
        <x:v>Not measured</x:v>
      </x:c>
      <x:c r="F8" s="33" t="str">
        <x:f>IF(SUM(Measurements!E6:E35)=0,"Pending",SUM(Measurements!G6:G35)/SUM(Measurements!E6:E35))</x:f>
        <x:v>Pending</x:v>
      </x:c>
      <x:c r="G8" s="24" t="n">
        <x:f>SUM(Measurements!E6:E35)</x:f>
        <x:v>0</x:v>
      </x:c>
      <x:c r="H8" s="24" t="str">
        <x:v>Corrected fields / eligible fields</x:v>
      </x:c>
      <x:c r="I8" s="24" t="str">
        <x:f>IF(ISNUMBER(F8),IF(F8&lt;=D8,"Met","Below target"),"Pending")</x:f>
        <x:v>Pending</x:v>
      </x:c>
    </x:row>
    <x:row r="9" ht="49" customHeight="1">
      <x:c r="A9" s="25" t="str">
        <x:v>Successful approved export</x:v>
      </x:c>
      <x:c r="B9" s="25" t="str">
        <x:v>Outcomes</x:v>
      </x:c>
      <x:c r="C9" s="25" t="str">
        <x:v>Not measured</x:v>
      </x:c>
      <x:c r="D9" s="28" t="n">
        <x:v>0.95</x:v>
      </x:c>
      <x:c r="E9" s="25" t="str">
        <x:v>Not measured</x:v>
      </x:c>
      <x:c r="F9" s="32" t="str">
        <x:f>IF(COUNT(Measurements!H6:H35)=0,"Pending",AVERAGE(Measurements!H6:H35))</x:f>
        <x:v>Pending</x:v>
      </x:c>
      <x:c r="G9" s="25" t="n">
        <x:f>COUNT(Measurements!H6:H35)</x:f>
        <x:v>0</x:v>
      </x:c>
      <x:c r="H9" s="25" t="str">
        <x:v>Delivered approved exports / attempted approvals</x:v>
      </x:c>
      <x:c r="I9" s="25" t="str">
        <x:f>IF(ISNUMBER(F9),IF(F9&gt;=D9,"Met","Below target"),"Pending")</x:f>
        <x:v>Pending</x:v>
      </x:c>
    </x:row>
    <x:row r="10" ht="49" customHeight="1">
      <x:c r="A10" s="24" t="str">
        <x:v>Perceived entry ease (1–5)</x:v>
      </x:c>
      <x:c r="B10" s="24" t="str">
        <x:v>Workforce</x:v>
      </x:c>
      <x:c r="C10" s="24" t="str">
        <x:v>Not measured</x:v>
      </x:c>
      <x:c r="D10" s="38" t="n">
        <x:v>4</x:v>
      </x:c>
      <x:c r="E10" s="24" t="str">
        <x:v>Not measured</x:v>
      </x:c>
      <x:c r="F10" s="38" t="str">
        <x:f>IF(COUNT(Measurements!I6:I35)=0,"Pending",AVERAGE(Measurements!I6:I35))</x:f>
        <x:v>Pending</x:v>
      </x:c>
      <x:c r="G10" s="24" t="n">
        <x:f>COUNT(Measurements!I6:I35)</x:f>
        <x:v>0</x:v>
      </x:c>
      <x:c r="H10" s="24" t="str">
        <x:v>Short survey after each synthetic trial</x:v>
      </x:c>
      <x:c r="I10" s="24" t="str">
        <x:f>IF(ISNUMBER(F10),IF(F10&gt;=D10,"Met","Below target"),"Pending")</x:f>
        <x:v>Pending</x:v>
      </x:c>
    </x:row>
    <x:row r="12" ht="30" customHeight="1">
      <x:c r="A12" s="41" t="str">
        <x:v>ACTUAL RESULTS ARE NEVER AUTO-FILLED FROM DEMO SCREENSHOTS OR UNCALIBRATED JUDGE SCORES.</x:v>
      </x:c>
      <x:c r="B12" s="41"/>
      <x:c r="C12" s="41"/>
      <x:c r="D12" s="41"/>
      <x:c r="E12" s="41"/>
      <x:c r="F12" s="41"/>
      <x:c r="G12" s="41"/>
      <x:c r="H12" s="41"/>
      <x:c r="I12" s="41"/>
    </x:row>
    <x:row r="14" ht="32" customHeight="1">
      <x:c r="A14" s="25" t="str">
        <x:v>Status: ResearchVoice AI prototype working; no measured time savings, accuracy percentage, or user satisfaction claimed yet.</x:v>
      </x:c>
      <x:c r="B14" s="25"/>
      <x:c r="C14" s="25"/>
      <x:c r="D14" s="25"/>
      <x:c r="E14" s="25"/>
      <x:c r="F14" s="25"/>
      <x:c r="G14" s="25"/>
      <x:c r="H14" s="25"/>
      <x:c r="I14" s="25"/>
    </x:row>
  </x:sheetData>
  <x:mergeCells>
    <x:mergeCell ref="A1:I1"/>
    <x:mergeCell ref="A4:I4"/>
    <x:mergeCell ref="A12:I12"/>
    <x:mergeCell ref="A14:I14"/>
  </x:mergeCells>
  <x:conditionalFormatting sqref="I6:I10">
    <x:cfRule type="expression" dxfId="0" priority="1">
      <x:formula>I6="Below target"</x:formula>
    </x:cfRule>
    <x:cfRule type="expression" dxfId="1" priority="2">
      <x:formula>I6="Met"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7" hidden="0" customWidth="1"/>
    <x:col min="4" max="4" width="25" hidden="0" customWidth="1"/>
    <x:col min="5" max="5" width="20" hidden="0" customWidth="1"/>
    <x:col min="6" max="6" width="24" hidden="0" customWidth="1"/>
    <x:col min="7" max="7" width="16" hidden="0" customWidth="1"/>
    <x:col min="8" max="8" width="30" hidden="0" customWidth="1"/>
    <x:col min="9" max="9" width="23" hidden="0" customWidth="1"/>
    <x:col min="10" max="10" width="45" hidden="0" customWidth="1"/>
  </x:cols>
  <x:sheetData>
    <x:row r="1" ht="35" customHeight="1">
      <x:c r="A1" s="4" t="str">
        <x:v>Synthetic trial measurement log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8" t="str">
        <x:v>Enter ONE row per synthetic comparison. Do not enter real patient information.</x:v>
      </x:c>
    </x:row>
    <x:row r="4" ht="28" customHeight="1">
      <x:c r="A4" s="41" t="str">
        <x:v>Data-entry cells are intentionally blank. Time the manual AND AI-assisted method on matched synthetic cases.</x:v>
      </x:c>
      <x:c r="B4" s="41"/>
      <x:c r="C4" s="41"/>
      <x:c r="D4" s="41"/>
      <x:c r="E4" s="41"/>
      <x:c r="F4" s="41"/>
      <x:c r="G4" s="41"/>
      <x:c r="H4" s="41"/>
      <x:c r="I4" s="41"/>
      <x:c r="J4" s="41"/>
    </x:row>
    <x:row r="5" ht="35" customHeight="1">
      <x:c r="A5" s="17" t="str">
        <x:v>Trial ID</x:v>
      </x:c>
      <x:c r="B5" s="17" t="str">
        <x:v>Fictional case code</x:v>
      </x:c>
      <x:c r="C5" s="17" t="str">
        <x:v>Manual entry min</x:v>
      </x:c>
      <x:c r="D5" s="17" t="str">
        <x:v>AI-to-approved XLSX min</x:v>
      </x:c>
      <x:c r="E5" s="17" t="str">
        <x:v>Eligible study fields</x:v>
      </x:c>
      <x:c r="F5" s="17" t="str">
        <x:v>Correct pre-review fields</x:v>
      </x:c>
      <x:c r="G5" s="17" t="str">
        <x:v>Corrected fields</x:v>
      </x:c>
      <x:c r="H5" s="17" t="str">
        <x:v>Approved export delivered? 1/0</x:v>
      </x:c>
      <x:c r="I5" s="17" t="str">
        <x:v>Entry ease score 1–5</x:v>
      </x:c>
      <x:c r="J5" s="17" t="str">
        <x:v>Evidence / notes (no PHI)</x:v>
      </x:c>
    </x:row>
    <x:row r="6" ht="25" customHeight="1">
      <x:c r="A6" s="44"/>
      <x:c r="B6" s="44"/>
      <x:c r="C6" s="46"/>
      <x:c r="D6" s="46"/>
      <x:c r="E6" s="50"/>
      <x:c r="F6" s="50"/>
      <x:c r="G6" s="50"/>
      <x:c r="H6" s="50"/>
      <x:c r="I6" s="50"/>
      <x:c r="J6" s="44"/>
    </x:row>
    <x:row r="7" ht="25" customHeight="1">
      <x:c r="A7" s="25"/>
      <x:c r="B7" s="25"/>
      <x:c r="C7" s="47"/>
      <x:c r="D7" s="47"/>
      <x:c r="E7" s="51"/>
      <x:c r="F7" s="51"/>
      <x:c r="G7" s="51"/>
      <x:c r="H7" s="51"/>
      <x:c r="I7" s="51"/>
      <x:c r="J7" s="25"/>
    </x:row>
    <x:row r="8" ht="25" customHeight="1">
      <x:c r="A8" s="44"/>
      <x:c r="B8" s="44"/>
      <x:c r="C8" s="46"/>
      <x:c r="D8" s="46"/>
      <x:c r="E8" s="50"/>
      <x:c r="F8" s="50"/>
      <x:c r="G8" s="50"/>
      <x:c r="H8" s="50"/>
      <x:c r="I8" s="50"/>
      <x:c r="J8" s="44"/>
    </x:row>
    <x:row r="9" ht="25" customHeight="1">
      <x:c r="A9" s="25"/>
      <x:c r="B9" s="25"/>
      <x:c r="C9" s="47"/>
      <x:c r="D9" s="47"/>
      <x:c r="E9" s="51"/>
      <x:c r="F9" s="51"/>
      <x:c r="G9" s="51"/>
      <x:c r="H9" s="51"/>
      <x:c r="I9" s="51"/>
      <x:c r="J9" s="25"/>
    </x:row>
    <x:row r="10" ht="25" customHeight="1">
      <x:c r="A10" s="44"/>
      <x:c r="B10" s="44"/>
      <x:c r="C10" s="46"/>
      <x:c r="D10" s="46"/>
      <x:c r="E10" s="50"/>
      <x:c r="F10" s="50"/>
      <x:c r="G10" s="50"/>
      <x:c r="H10" s="50"/>
      <x:c r="I10" s="50"/>
      <x:c r="J10" s="44"/>
    </x:row>
    <x:row r="11" ht="25" customHeight="1">
      <x:c r="A11" s="25"/>
      <x:c r="B11" s="25"/>
      <x:c r="C11" s="47"/>
      <x:c r="D11" s="47"/>
      <x:c r="E11" s="51"/>
      <x:c r="F11" s="51"/>
      <x:c r="G11" s="51"/>
      <x:c r="H11" s="51"/>
      <x:c r="I11" s="51"/>
      <x:c r="J11" s="25"/>
    </x:row>
    <x:row r="12" ht="25" customHeight="1">
      <x:c r="A12" s="44"/>
      <x:c r="B12" s="44"/>
      <x:c r="C12" s="46"/>
      <x:c r="D12" s="46"/>
      <x:c r="E12" s="50"/>
      <x:c r="F12" s="50"/>
      <x:c r="G12" s="50"/>
      <x:c r="H12" s="50"/>
      <x:c r="I12" s="50"/>
      <x:c r="J12" s="44"/>
    </x:row>
    <x:row r="13" ht="25" customHeight="1">
      <x:c r="A13" s="25"/>
      <x:c r="B13" s="25"/>
      <x:c r="C13" s="47"/>
      <x:c r="D13" s="47"/>
      <x:c r="E13" s="51"/>
      <x:c r="F13" s="51"/>
      <x:c r="G13" s="51"/>
      <x:c r="H13" s="51"/>
      <x:c r="I13" s="51"/>
      <x:c r="J13" s="25"/>
    </x:row>
    <x:row r="14" ht="25" customHeight="1">
      <x:c r="A14" s="44"/>
      <x:c r="B14" s="44"/>
      <x:c r="C14" s="46"/>
      <x:c r="D14" s="46"/>
      <x:c r="E14" s="50"/>
      <x:c r="F14" s="50"/>
      <x:c r="G14" s="50"/>
      <x:c r="H14" s="50"/>
      <x:c r="I14" s="50"/>
      <x:c r="J14" s="44"/>
    </x:row>
    <x:row r="15" ht="25" customHeight="1">
      <x:c r="A15" s="25"/>
      <x:c r="B15" s="25"/>
      <x:c r="C15" s="47"/>
      <x:c r="D15" s="47"/>
      <x:c r="E15" s="51"/>
      <x:c r="F15" s="51"/>
      <x:c r="G15" s="51"/>
      <x:c r="H15" s="51"/>
      <x:c r="I15" s="51"/>
      <x:c r="J15" s="25"/>
    </x:row>
    <x:row r="16" ht="25" customHeight="1">
      <x:c r="A16" s="44"/>
      <x:c r="B16" s="44"/>
      <x:c r="C16" s="46"/>
      <x:c r="D16" s="46"/>
      <x:c r="E16" s="50"/>
      <x:c r="F16" s="50"/>
      <x:c r="G16" s="50"/>
      <x:c r="H16" s="50"/>
      <x:c r="I16" s="50"/>
      <x:c r="J16" s="44"/>
    </x:row>
    <x:row r="17" ht="25" customHeight="1">
      <x:c r="A17" s="25"/>
      <x:c r="B17" s="25"/>
      <x:c r="C17" s="47"/>
      <x:c r="D17" s="47"/>
      <x:c r="E17" s="51"/>
      <x:c r="F17" s="51"/>
      <x:c r="G17" s="51"/>
      <x:c r="H17" s="51"/>
      <x:c r="I17" s="51"/>
      <x:c r="J17" s="25"/>
    </x:row>
    <x:row r="18" ht="25" customHeight="1">
      <x:c r="A18" s="44"/>
      <x:c r="B18" s="44"/>
      <x:c r="C18" s="46"/>
      <x:c r="D18" s="46"/>
      <x:c r="E18" s="50"/>
      <x:c r="F18" s="50"/>
      <x:c r="G18" s="50"/>
      <x:c r="H18" s="50"/>
      <x:c r="I18" s="50"/>
      <x:c r="J18" s="44"/>
    </x:row>
    <x:row r="19" ht="25" customHeight="1">
      <x:c r="A19" s="25"/>
      <x:c r="B19" s="25"/>
      <x:c r="C19" s="47"/>
      <x:c r="D19" s="47"/>
      <x:c r="E19" s="51"/>
      <x:c r="F19" s="51"/>
      <x:c r="G19" s="51"/>
      <x:c r="H19" s="51"/>
      <x:c r="I19" s="51"/>
      <x:c r="J19" s="25"/>
    </x:row>
    <x:row r="20" ht="25" customHeight="1">
      <x:c r="A20" s="44"/>
      <x:c r="B20" s="44"/>
      <x:c r="C20" s="46"/>
      <x:c r="D20" s="46"/>
      <x:c r="E20" s="50"/>
      <x:c r="F20" s="50"/>
      <x:c r="G20" s="50"/>
      <x:c r="H20" s="50"/>
      <x:c r="I20" s="50"/>
      <x:c r="J20" s="44"/>
    </x:row>
    <x:row r="21" ht="25" customHeight="1">
      <x:c r="A21" s="25"/>
      <x:c r="B21" s="25"/>
      <x:c r="C21" s="47"/>
      <x:c r="D21" s="47"/>
      <x:c r="E21" s="51"/>
      <x:c r="F21" s="51"/>
      <x:c r="G21" s="51"/>
      <x:c r="H21" s="51"/>
      <x:c r="I21" s="51"/>
      <x:c r="J21" s="25"/>
    </x:row>
    <x:row r="22" ht="25" customHeight="1">
      <x:c r="A22" s="44"/>
      <x:c r="B22" s="44"/>
      <x:c r="C22" s="46"/>
      <x:c r="D22" s="46"/>
      <x:c r="E22" s="50"/>
      <x:c r="F22" s="50"/>
      <x:c r="G22" s="50"/>
      <x:c r="H22" s="50"/>
      <x:c r="I22" s="50"/>
      <x:c r="J22" s="44"/>
    </x:row>
    <x:row r="23" ht="25" customHeight="1">
      <x:c r="A23" s="25"/>
      <x:c r="B23" s="25"/>
      <x:c r="C23" s="47"/>
      <x:c r="D23" s="47"/>
      <x:c r="E23" s="51"/>
      <x:c r="F23" s="51"/>
      <x:c r="G23" s="51"/>
      <x:c r="H23" s="51"/>
      <x:c r="I23" s="51"/>
      <x:c r="J23" s="25"/>
    </x:row>
    <x:row r="24" ht="25" customHeight="1">
      <x:c r="A24" s="44"/>
      <x:c r="B24" s="44"/>
      <x:c r="C24" s="46"/>
      <x:c r="D24" s="46"/>
      <x:c r="E24" s="50"/>
      <x:c r="F24" s="50"/>
      <x:c r="G24" s="50"/>
      <x:c r="H24" s="50"/>
      <x:c r="I24" s="50"/>
      <x:c r="J24" s="44"/>
    </x:row>
    <x:row r="25" ht="25" customHeight="1">
      <x:c r="A25" s="25"/>
      <x:c r="B25" s="25"/>
      <x:c r="C25" s="47"/>
      <x:c r="D25" s="47"/>
      <x:c r="E25" s="51"/>
      <x:c r="F25" s="51"/>
      <x:c r="G25" s="51"/>
      <x:c r="H25" s="51"/>
      <x:c r="I25" s="51"/>
      <x:c r="J25" s="25"/>
    </x:row>
    <x:row r="26" ht="25" customHeight="1">
      <x:c r="A26" s="44"/>
      <x:c r="B26" s="44"/>
      <x:c r="C26" s="46"/>
      <x:c r="D26" s="46"/>
      <x:c r="E26" s="50"/>
      <x:c r="F26" s="50"/>
      <x:c r="G26" s="50"/>
      <x:c r="H26" s="50"/>
      <x:c r="I26" s="50"/>
      <x:c r="J26" s="44"/>
    </x:row>
    <x:row r="27" ht="25" customHeight="1">
      <x:c r="A27" s="25"/>
      <x:c r="B27" s="25"/>
      <x:c r="C27" s="47"/>
      <x:c r="D27" s="47"/>
      <x:c r="E27" s="51"/>
      <x:c r="F27" s="51"/>
      <x:c r="G27" s="51"/>
      <x:c r="H27" s="51"/>
      <x:c r="I27" s="51"/>
      <x:c r="J27" s="25"/>
    </x:row>
    <x:row r="28" ht="25" customHeight="1">
      <x:c r="A28" s="44"/>
      <x:c r="B28" s="44"/>
      <x:c r="C28" s="46"/>
      <x:c r="D28" s="46"/>
      <x:c r="E28" s="50"/>
      <x:c r="F28" s="50"/>
      <x:c r="G28" s="50"/>
      <x:c r="H28" s="50"/>
      <x:c r="I28" s="50"/>
      <x:c r="J28" s="44"/>
    </x:row>
    <x:row r="29" ht="25" customHeight="1">
      <x:c r="A29" s="25"/>
      <x:c r="B29" s="25"/>
      <x:c r="C29" s="47"/>
      <x:c r="D29" s="47"/>
      <x:c r="E29" s="51"/>
      <x:c r="F29" s="51"/>
      <x:c r="G29" s="51"/>
      <x:c r="H29" s="51"/>
      <x:c r="I29" s="51"/>
      <x:c r="J29" s="25"/>
    </x:row>
    <x:row r="30" ht="25" customHeight="1">
      <x:c r="A30" s="44"/>
      <x:c r="B30" s="44"/>
      <x:c r="C30" s="46"/>
      <x:c r="D30" s="46"/>
      <x:c r="E30" s="50"/>
      <x:c r="F30" s="50"/>
      <x:c r="G30" s="50"/>
      <x:c r="H30" s="50"/>
      <x:c r="I30" s="50"/>
      <x:c r="J30" s="44"/>
    </x:row>
    <x:row r="31" ht="25" customHeight="1">
      <x:c r="A31" s="25"/>
      <x:c r="B31" s="25"/>
      <x:c r="C31" s="47"/>
      <x:c r="D31" s="47"/>
      <x:c r="E31" s="51"/>
      <x:c r="F31" s="51"/>
      <x:c r="G31" s="51"/>
      <x:c r="H31" s="51"/>
      <x:c r="I31" s="51"/>
      <x:c r="J31" s="25"/>
    </x:row>
    <x:row r="32" ht="25" customHeight="1">
      <x:c r="A32" s="44"/>
      <x:c r="B32" s="44"/>
      <x:c r="C32" s="46"/>
      <x:c r="D32" s="46"/>
      <x:c r="E32" s="50"/>
      <x:c r="F32" s="50"/>
      <x:c r="G32" s="50"/>
      <x:c r="H32" s="50"/>
      <x:c r="I32" s="50"/>
      <x:c r="J32" s="44"/>
    </x:row>
    <x:row r="33" ht="25" customHeight="1">
      <x:c r="A33" s="25"/>
      <x:c r="B33" s="25"/>
      <x:c r="C33" s="47"/>
      <x:c r="D33" s="47"/>
      <x:c r="E33" s="51"/>
      <x:c r="F33" s="51"/>
      <x:c r="G33" s="51"/>
      <x:c r="H33" s="51"/>
      <x:c r="I33" s="51"/>
      <x:c r="J33" s="25"/>
    </x:row>
    <x:row r="34" ht="25" customHeight="1">
      <x:c r="A34" s="44"/>
      <x:c r="B34" s="44"/>
      <x:c r="C34" s="46"/>
      <x:c r="D34" s="46"/>
      <x:c r="E34" s="50"/>
      <x:c r="F34" s="50"/>
      <x:c r="G34" s="50"/>
      <x:c r="H34" s="50"/>
      <x:c r="I34" s="50"/>
      <x:c r="J34" s="44"/>
    </x:row>
    <x:row r="35" ht="25" customHeight="1">
      <x:c r="A35" s="25"/>
      <x:c r="B35" s="25"/>
      <x:c r="C35" s="47"/>
      <x:c r="D35" s="47"/>
      <x:c r="E35" s="51"/>
      <x:c r="F35" s="51"/>
      <x:c r="G35" s="51"/>
      <x:c r="H35" s="51"/>
      <x:c r="I35" s="51"/>
      <x:c r="J35" s="25"/>
    </x:row>
  </x:sheetData>
  <x:mergeCells>
    <x:mergeCell ref="A1:J1"/>
    <x:mergeCell ref="A4:J4"/>
  </x:mergeCells>
  <x:dataValidations count="2">
    <x:dataValidation type="list" sqref="H6:H35">
      <x:formula1>"0,1"</x:formula1>
    </x:dataValidation>
    <x:dataValidation type="list" sqref="I6:I35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9" hidden="0" customWidth="1"/>
    <x:col min="4" max="4" width="17" hidden="0" customWidth="1"/>
    <x:col min="5" max="5" width="20" hidden="0" customWidth="1"/>
    <x:col min="6" max="6" width="41" hidden="0" customWidth="1"/>
  </x:cols>
  <x:sheetData>
    <x:row r="1" ht="35" customHeight="1">
      <x:c r="A1" s="4" t="str">
        <x:v>Pre-launch validation targets</x:v>
      </x:c>
      <x:c r="B1" s="4"/>
      <x:c r="C1" s="4"/>
      <x:c r="D1" s="4"/>
      <x:c r="E1" s="4"/>
      <x:c r="F1" s="4"/>
    </x:row>
    <x:row r="2" ht="24" customHeight="1">
      <x:c r="A2" s="8" t="str">
        <x:v>These are concept-stage targets from the October 2026 pitch, NOT recruited users or actual traction.</x:v>
      </x:c>
    </x:row>
    <x:row r="5" ht="35" customHeight="1">
      <x:c r="A5" s="17" t="str">
        <x:v>Goal</x:v>
      </x:c>
      <x:c r="B5" s="17" t="str">
        <x:v>Planning target</x:v>
      </x:c>
      <x:c r="C5" s="17" t="str">
        <x:v>Observed actual</x:v>
      </x:c>
      <x:c r="D5" s="17" t="str">
        <x:v>Status</x:v>
      </x:c>
      <x:c r="E5" s="17" t="str">
        <x:v>Time window</x:v>
      </x:c>
      <x:c r="F5" s="17" t="str">
        <x:v>Evidence source</x:v>
      </x:c>
    </x:row>
    <x:row r="6" ht="38" customHeight="1">
      <x:c r="A6" s="22" t="str">
        <x:v>Researcher interviews</x:v>
      </x:c>
      <x:c r="B6" s="22" t="n">
        <x:v>20</x:v>
      </x:c>
      <x:c r="C6" s="22"/>
      <x:c r="D6" s="22" t="str">
        <x:f>IF(ISNUMBER(C6),IF(C6&gt;=B6,"Met","Below target"),"Pending")</x:f>
        <x:v>Pending</x:v>
      </x:c>
      <x:c r="E6" s="22" t="str">
        <x:v>Four-week outreach</x:v>
      </x:c>
      <x:c r="F6" s="22" t="str">
        <x:v>Interview notes / researcher consent</x:v>
      </x:c>
    </x:row>
    <x:row r="7" ht="38" customHeight="1">
      <x:c r="A7" t="str">
        <x:v>Interested-in-testing responses</x:v>
      </x:c>
      <x:c r="B7" t="n">
        <x:v>12</x:v>
      </x:c>
      <x:c r="C7"/>
      <x:c r="D7" t="str">
        <x:f>IF(ISNUMBER(C7),IF(C7&gt;=B7,"Met","Below target"),"Pending")</x:f>
        <x:v>Pending</x:v>
      </x:c>
      <x:c r="E7" t="str">
        <x:v>Four-week outreach</x:v>
      </x:c>
      <x:c r="F7" t="str">
        <x:v>Documented interested researchers</x:v>
      </x:c>
    </x:row>
    <x:row r="8" ht="38" customHeight="1">
      <x:c r="A8" s="22" t="str">
        <x:v>Expected pilot users</x:v>
      </x:c>
      <x:c r="B8" s="22" t="n">
        <x:v>10</x:v>
      </x:c>
      <x:c r="C8" s="22"/>
      <x:c r="D8" s="22" t="str">
        <x:f>IF(ISNUMBER(C8),IF(C8&gt;=B8,"Met","Below target"),"Pending")</x:f>
        <x:v>Pending</x:v>
      </x:c>
      <x:c r="E8" s="22" t="str">
        <x:v>Pre-pilot plan</x:v>
      </x:c>
      <x:c r="F8" s="22" t="str">
        <x:v>Invitations or sign-up confirmations</x:v>
      </x:c>
    </x:row>
    <x:row r="9" ht="38" customHeight="1">
      <x:c r="A9" t="str">
        <x:v>Interested research teams</x:v>
      </x:c>
      <x:c r="B9" t="n">
        <x:v>2</x:v>
      </x:c>
      <x:c r="C9"/>
      <x:c r="D9" t="str">
        <x:f>IF(ISNUMBER(C9),IF(C9&gt;=B9,"Met","Below target"),"Pending")</x:f>
        <x:v>Pending</x:v>
      </x:c>
      <x:c r="E9" t="str">
        <x:v>Pre-pilot plan</x:v>
      </x:c>
      <x:c r="F9" t="str">
        <x:v>Written expressions of interest</x:v>
      </x:c>
    </x:row>
    <x:row r="11" ht="30" customHeight="1">
      <x:c r="A11" s="41" t="str">
        <x:v>All previous business concept numbers are targets or hypothetical assumptions, not sales, revenue, or user results.</x:v>
      </x:c>
      <x:c r="B11" s="41"/>
      <x:c r="C11" s="41"/>
      <x:c r="D11" s="41"/>
      <x:c r="E11" s="41"/>
      <x:c r="F11" s="41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9" hidden="0" customWidth="1"/>
    <x:col min="3" max="3" width="91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5" customHeight="1">
      <x:c r="A1" s="4" t="str">
        <x:v>How to complete the KPI scorecard</x:v>
      </x:c>
      <x:c r="B1" s="4"/>
      <x:c r="C1" s="4"/>
      <x:c r="D1" s="4"/>
      <x:c r="E1" s="4"/>
      <x:c r="F1" s="4"/>
    </x:row>
    <x:row r="2" ht="24" customHeight="1">
      <x:c r="A2" s="8" t="str">
        <x:v>DEPI guideline Template A4 — outcomes / cost / workforce well-being.</x:v>
      </x:c>
    </x:row>
    <x:row r="5" ht="35" customHeight="1">
      <x:c r="A5" s="17" t="str">
        <x:v>Step</x:v>
      </x:c>
      <x:c r="B5" s="17" t="str">
        <x:v>Action</x:v>
      </x:c>
      <x:c r="C5" s="17" t="str">
        <x:v>Instruction</x:v>
      </x:c>
    </x:row>
    <x:row r="6" ht="50" customHeight="1">
      <x:c r="A6" s="25" t="str">
        <x:v>1</x:v>
      </x:c>
      <x:c r="B6" s="25" t="str">
        <x:v>Run paired synthetic cases</x:v>
      </x:c>
      <x:c r="C6" s="25" t="str">
        <x:v>Use the same fictional source facts for manual Excel entry and ResearchVoice AI, then record both durations.</x:v>
      </x:c>
    </x:row>
    <x:row r="7" ht="50" customHeight="1">
      <x:c r="A7" s="25" t="str">
        <x:v>2</x:v>
      </x:c>
      <x:c r="B7" s="25" t="str">
        <x:v>Write field-level ground truth</x:v>
      </x:c>
      <x:c r="C7" s="25" t="str">
        <x:v>Prepare gold fields and units BEFORE seeing AI output. Count correct extracted fields BEFORE later researcher fixes.</x:v>
      </x:c>
    </x:row>
    <x:row r="8" ht="50" customHeight="1">
      <x:c r="A8" s="25" t="str">
        <x:v>3</x:v>
      </x:c>
      <x:c r="B8" s="25" t="str">
        <x:v>Record each trial in Measurements</x:v>
      </x:c>
      <x:c r="C8" s="25" t="str">
        <x:v>Eligible fields = fields defined in schema; correct pre-review = exact matches; corrected fields = manually changed fields.</x:v>
      </x:c>
    </x:row>
    <x:row r="9" ht="50" customHeight="1">
      <x:c r="A9" s="25" t="str">
        <x:v>4</x:v>
      </x:c>
      <x:c r="B9" s="25" t="str">
        <x:v>Use 1 / 0 for export delivery</x:v>
      </x:c>
      <x:c r="C9" s="25" t="str">
        <x:v>1 means approved XLSX actually arrived; 0 means an approved export was attempted but failed.</x:v>
      </x:c>
    </x:row>
    <x:row r="10" ht="50" customHeight="1">
      <x:c r="A10" s="25" t="str">
        <x:v>5</x:v>
      </x:c>
      <x:c r="B10" s="25" t="str">
        <x:v>Ask test researcher to rate effort</x:v>
      </x:c>
      <x:c r="C10" s="25" t="str">
        <x:v>Enter 1–5 (5 = easier) after the trial. Do not use LLM judge score as survey data.</x:v>
      </x:c>
    </x:row>
    <x:row r="11" ht="50" customHeight="1">
      <x:c r="A11" s="25" t="str">
        <x:v>6</x:v>
      </x:c>
      <x:c r="B11" s="25" t="str">
        <x:v>Check KPI A4</x:v>
      </x:c>
      <x:c r="C11" s="25" t="str">
        <x:v>The actual cells update with formulas. Pending means there is no eligible measurement yet.</x:v>
      </x:c>
    </x:row>
    <x:row r="12" ht="50" customHeight="1">
      <x:c r="A12" s="25" t="str">
        <x:v>7</x:v>
      </x:c>
      <x:c r="B12" s="25" t="str">
        <x:v>Finalize targets and baseline</x:v>
      </x:c>
      <x:c r="C12" s="25" t="str">
        <x:v>Planning baseline of 8 minutes is hypothetical. Keep it distinct from measured manual baseline in column E.</x:v>
      </x:c>
    </x:row>
    <x:row r="13" ht="50" customHeight="1">
      <x:c r="A13" s="25" t="str">
        <x:v>8</x:v>
      </x:c>
      <x:c r="B13" s="25" t="str">
        <x:v>Validate interested testers</x:v>
      </x:c>
      <x:c r="C13" s="25" t="str">
        <x:v>Validation Targets sheet tracks proposed targets only; fill actuals with evidence, not assumptions.</x:v>
      </x:c>
    </x:row>
  </x:sheetData>
  <x:mergeCells>
    <x:mergeCell ref="A1:F1"/>
  </x:mergeCells>
  <x:pageMargins left="0.7" right="0.7" top="0.75" bottom="0.75" header="0.3" footer="0.3"/>
</x:worksheet>
</file>