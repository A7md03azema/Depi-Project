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74f312098643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61a9e5e2255749d5"/>
    <x:sheet xmlns:r="http://schemas.openxmlformats.org/officeDocument/2006/relationships" name="Owners" sheetId="2" r:id="R8549a051ced64e56"/>
    <x:sheet xmlns:r="http://schemas.openxmlformats.org/officeDocument/2006/relationships" name="Component Tests" sheetId="3" r:id="Rdcfd8e7d54754949"/>
    <x:sheet xmlns:r="http://schemas.openxmlformats.org/officeDocument/2006/relationships" name="End to End" sheetId="4" r:id="Raa0f74a2e5794cf9"/>
    <x:sheet xmlns:r="http://schemas.openxmlformats.org/officeDocument/2006/relationships" name="Evidence Register" sheetId="5" r:id="R2758c110509b47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b/>
      <x:sz val="12"/>
      <x:color rgb="FF0D8288"/>
      <x:name val="Carlito"/>
    </x:font>
    <x:font>
      <x:b/>
      <x:sz val="11"/>
      <x:color rgb="FF17324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0"/>
      <x:color rgb="FF17324F"/>
      <x:name val="Carlito"/>
    </x:font>
    <x:font>
      <x:sz val="11"/>
      <x:color rgb="FF17324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F"/>
      </x:patternFill>
    </x:fill>
    <x:fill>
      <x:patternFill patternType="solid">
        <x:fgColor rgb="FFEAF3F4"/>
      </x:patternFill>
    </x:fill>
    <x:fill>
      <x:patternFill patternType="solid">
        <x:fgColor rgb="FF0D8288"/>
      </x:patternFill>
    </x:fill>
    <x:fill>
      <x:patternFill patternType="solid">
        <x:fgColor rgb="FFFFF0CE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55d015ad454228" /><Relationship Type="http://schemas.openxmlformats.org/officeDocument/2006/relationships/theme" Target="/xl/theme/theme1.xml" Id="R8895c7b1db2148e0" /><Relationship Type="http://schemas.openxmlformats.org/officeDocument/2006/relationships/sharedStrings" Target="/xl/sharedStrings.xml" Id="R8a272b72425149ab" /><Relationship Type="http://schemas.openxmlformats.org/officeDocument/2006/relationships/worksheet" Target="/xl/worksheets/sheet1.xml" Id="R61a9e5e2255749d5" /><Relationship Type="http://schemas.openxmlformats.org/officeDocument/2006/relationships/worksheet" Target="/xl/worksheets/sheet2.xml" Id="R8549a051ced64e56" /><Relationship Type="http://schemas.openxmlformats.org/officeDocument/2006/relationships/worksheet" Target="/xl/worksheets/sheet3.xml" Id="Rdcfd8e7d54754949" /><Relationship Type="http://schemas.openxmlformats.org/officeDocument/2006/relationships/worksheet" Target="/xl/worksheets/sheet4.xml" Id="Raa0f74a2e5794cf9" /><Relationship Type="http://schemas.openxmlformats.org/officeDocument/2006/relationships/worksheet" Target="/xl/worksheets/sheet5.xml" Id="R2758c110509b47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79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4" t="str">
        <x:v>RESEARCHVOICE AI — INDIVIDUAL TEST EVIDENCE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4" ht="27" customHeight="1">
      <x:c r="A4" s="8" t="str">
        <x:v>DEPI graduation tracker | 5 component owners × 5 prescribed tests = 25 test records</x:v>
      </x:c>
      <x:c r="B4" s="8"/>
      <x:c r="C4" s="8"/>
      <x:c r="D4" s="8"/>
      <x:c r="E4" s="8"/>
      <x:c r="F4" s="8"/>
      <x:c r="G4" s="8"/>
      <x:c r="H4" s="8"/>
    </x:row>
    <x:row r="6" ht="28" customHeight="1">
      <x:c r="A6" s="11" t="str">
        <x:v>OWNER STATUS</x:v>
      </x:c>
      <x:c r="B6" s="16" t="str">
        <x:v>Names are pending. Replace Member 1–5 with actual owners on the Owners sheet.</x:v>
      </x:c>
    </x:row>
    <x:row r="7" ht="28" customHeight="1">
      <x:c r="A7" s="11" t="str">
        <x:v>GUIDELINE RULE</x:v>
      </x:c>
      <x:c r="B7" s="16" t="str">
        <x:v>Three normal + one edge + one unsafe test per owner. Log EXPECTED and ACTUAL, add proof.</x:v>
      </x:c>
    </x:row>
    <x:row r="8" ht="28" customHeight="1">
      <x:c r="A8" s="11" t="str">
        <x:v>INSTRUCTOR EXCEPTION</x:v>
      </x:c>
      <x:c r="B8" s="16" t="str">
        <x:v>One integrated n8n workflow with five functional owner areas. Attach written instructor approval.</x:v>
      </x:c>
    </x:row>
    <x:row r="9" ht="28" customHeight="1">
      <x:c r="A9" s="11" t="str">
        <x:v>HONEST EVIDENCE</x:v>
      </x:c>
      <x:c r="B9" s="16" t="str">
        <x:v>“Shared demo evidence” documents joint observations but is not a signed individual test result.</x:v>
      </x:c>
    </x:row>
    <x:row r="10" ht="28" customHeight="1">
      <x:c r="A10" s="11" t="str">
        <x:v>HEALTHCARE SAFETY</x:v>
      </x:c>
      <x:c r="B10" s="16" t="str">
        <x:v>Synthetic/de-identified content only. Do NOT send real patient data or audio.</x:v>
      </x:c>
    </x:row>
    <x:row r="11" ht="28" customHeight="1">
      <x:c r="A11" s="11" t="str">
        <x:v>EVALUATION</x:v>
      </x:c>
      <x:c r="B11" s="16" t="str">
        <x:v>LLM judge not human calibrated. Current LangSmith trace is a QA checkpoint only.</x:v>
      </x:c>
    </x:row>
    <x:row r="13">
      <x:c r="A13" s="14" t="str">
        <x:v>TEST TRACKER</x:v>
      </x:c>
      <x:c r="B13" s="14" t="str">
        <x:v>COUNT</x:v>
      </x:c>
    </x:row>
    <x:row r="14">
      <x:c r="A14" t="str">
        <x:v>Required test cases</x:v>
      </x:c>
      <x:c r="B14" t="n">
        <x:f>COUNTA('Component Tests'!D5:D29)</x:f>
        <x:v>25</x:v>
      </x:c>
    </x:row>
    <x:row r="15">
      <x:c r="A15" t="str">
        <x:v>Formal records complete</x:v>
      </x:c>
      <x:c r="B15" t="n">
        <x:f>COUNTIF('Component Tests'!H5:H29,"Formally verified")</x:f>
        <x:v>0</x:v>
      </x:c>
    </x:row>
    <x:row r="16">
      <x:c r="A16" t="str">
        <x:v>Shared demo references</x:v>
      </x:c>
      <x:c r="B16" t="n">
        <x:f>COUNTIF('Component Tests'!H5:H29,"Shared demo evidence")</x:f>
        <x:v>16</x:v>
      </x:c>
    </x:row>
    <x:row r="17">
      <x:c r="A17" t="str">
        <x:v>Local simulation only</x:v>
      </x:c>
      <x:c r="B17" t="n">
        <x:f>COUNTIF('Component Tests'!H5:H29,"Local simulation only")</x:f>
        <x:v>1</x:v>
      </x:c>
    </x:row>
    <x:row r="18">
      <x:c r="A18" t="str">
        <x:v>Formal records outstanding</x:v>
      </x:c>
      <x:c r="B18" t="n">
        <x:f>COUNTIF('Component Tests'!H5:H29,"Needs formal record")</x:f>
        <x:v>8</x:v>
      </x:c>
    </x:row>
  </x:sheetData>
  <x:mergeCells>
    <x:mergeCell ref="A1:H2"/>
    <x:mergeCell ref="A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6" hidden="0" customWidth="1"/>
    <x:col min="3" max="3" width="31" hidden="0" customWidth="1"/>
    <x:col min="4" max="4" width="35" hidden="0" customWidth="1"/>
  </x:cols>
  <x:sheetData>
    <x:row r="1">
      <x:c r="A1" s="18" t="str">
        <x:v>OWNERSHIP &amp; GOVERNANCE</x:v>
      </x:c>
      <x:c r="B1" s="18"/>
      <x:c r="C1" s="18"/>
      <x:c r="D1" s="18"/>
    </x:row>
    <x:row r="2">
      <x:c r="A2" s="18"/>
      <x:c r="B2" s="18"/>
      <x:c r="C2" s="18"/>
      <x:c r="D2" s="18"/>
    </x:row>
    <x:row r="4">
      <x:c r="A4" s="21" t="str">
        <x:v>Component</x:v>
      </x:c>
      <x:c r="B4" s="21" t="str">
        <x:v>Functional area</x:v>
      </x:c>
      <x:c r="C4" s="21" t="str">
        <x:v>Member name / owner</x:v>
      </x:c>
      <x:c r="D4" s="21" t="str">
        <x:v>Shared role (confirm)</x:v>
      </x:c>
    </x:row>
    <x:row r="5">
      <x:c r="A5" s="30" t="str">
        <x:v>C1</x:v>
      </x:c>
      <x:c r="B5" s="30" t="str">
        <x:v>Study &amp; variable schema</x:v>
      </x:c>
      <x:c r="C5" s="30" t="str">
        <x:v>[Member 1 — assign]</x:v>
      </x:c>
      <x:c r="D5" s="30" t="str">
        <x:v>[Team lead: assign]</x:v>
      </x:c>
    </x:row>
    <x:row r="6">
      <x:c r="A6" s="30" t="str">
        <x:v>C2</x:v>
      </x:c>
      <x:c r="B6" s="30" t="str">
        <x:v>Intake &amp; privacy</x:v>
      </x:c>
      <x:c r="C6" s="30" t="str">
        <x:v>[Member 2 — assign]</x:v>
      </x:c>
      <x:c r="D6" s="30" t="str">
        <x:v>[Integration owner: assign]</x:v>
      </x:c>
    </x:row>
    <x:row r="7">
      <x:c r="A7" s="30" t="str">
        <x:v>C3</x:v>
      </x:c>
      <x:c r="B7" s="30" t="str">
        <x:v>Schema-constrained extraction</x:v>
      </x:c>
      <x:c r="C7" s="30" t="str">
        <x:v>[Member 3 — assign]</x:v>
      </x:c>
      <x:c r="D7" s="30" t="str">
        <x:v>—</x:v>
      </x:c>
    </x:row>
    <x:row r="8">
      <x:c r="A8" s="30" t="str">
        <x:v>C4</x:v>
      </x:c>
      <x:c r="B8" s="30" t="str">
        <x:v>Independent QA &amp; monitoring</x:v>
      </x:c>
      <x:c r="C8" s="30" t="str">
        <x:v>[Member 4 — assign]</x:v>
      </x:c>
      <x:c r="D8" s="30" t="str">
        <x:v>[Evaluation owner: assign]</x:v>
      </x:c>
    </x:row>
    <x:row r="9">
      <x:c r="A9" s="30" t="str">
        <x:v>C5</x:v>
      </x:c>
      <x:c r="B9" s="30" t="str">
        <x:v>Human approval &amp; XLSX export</x:v>
      </x:c>
      <x:c r="C9" s="30" t="str">
        <x:v>[Member 5 — assign]</x:v>
      </x:c>
      <x:c r="D9" s="30" t="str">
        <x:v>—</x:v>
      </x:c>
    </x:row>
    <x:row r="10">
      <x:c r="A10" s="16"/>
      <x:c r="B10" s="16"/>
      <x:c r="C10" s="16"/>
      <x:c r="D10" s="16"/>
    </x:row>
    <x:row r="11">
      <x:c r="A11" s="16" t="str">
        <x:v>Note</x:v>
      </x:c>
      <x:c r="B11" s="16" t="str">
        <x:v>Instructor-approved single-workflow exception</x:v>
      </x:c>
      <x:c r="C11" s="16" t="str">
        <x:v>Attach approval evidence in submission folder</x:v>
      </x:c>
      <x:c r="D11" s="16" t="str">
        <x:v>Owner signs five-case tests</x:v>
      </x:c>
    </x:row>
  </x:sheetData>
  <x:mergeCells>
    <x:mergeCell ref="A1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5" hidden="0" customWidth="1"/>
    <x:col min="4" max="4" width="11" hidden="0" customWidth="1"/>
    <x:col min="5" max="5" width="45" hidden="0" customWidth="1"/>
    <x:col min="6" max="6" width="46" hidden="0" customWidth="1"/>
    <x:col min="7" max="7" width="50" hidden="0" customWidth="1"/>
    <x:col min="8" max="8" width="25" hidden="0" customWidth="1"/>
    <x:col min="9" max="9" width="34" hidden="0" customWidth="1"/>
    <x:col min="10" max="10" width="25" hidden="0" customWidth="1"/>
  </x:cols>
  <x:sheetData>
    <x:row r="1">
      <x:c r="A1" s="18" t="str">
        <x:v>25-CASE COMPONENT TEST MATRIX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  <x:c r="J2" s="18"/>
    </x:row>
    <x:row r="3">
      <x:c r="A3" s="25" t="str">
        <x:v>Only set “Formally verified” after recording actual result, owner/reviewer/date, and evidence. All inputs must be synthetic.</x:v>
      </x:c>
      <x:c r="B3" s="25"/>
      <x:c r="C3" s="25"/>
      <x:c r="D3" s="25"/>
      <x:c r="E3" s="25"/>
      <x:c r="F3" s="25"/>
      <x:c r="G3" s="25"/>
      <x:c r="H3" s="25"/>
      <x:c r="I3" s="25"/>
      <x:c r="J3" s="25"/>
    </x:row>
    <x:row r="4" ht="25" customHeight="1">
      <x:c r="A4" s="21" t="str">
        <x:v>Component</x:v>
      </x:c>
      <x:c r="B4" s="21" t="str">
        <x:v>Owner</x:v>
      </x:c>
      <x:c r="C4" s="21" t="str">
        <x:v>Case type</x:v>
      </x:c>
      <x:c r="D4" s="21" t="str">
        <x:v>Case ID</x:v>
      </x:c>
      <x:c r="E4" s="21" t="str">
        <x:v>Synthetic case / action</x:v>
      </x:c>
      <x:c r="F4" s="21" t="str">
        <x:v>Expected result</x:v>
      </x:c>
      <x:c r="G4" s="21" t="str">
        <x:v>Actual observed / limitation</x:v>
      </x:c>
      <x:c r="H4" s="21" t="str">
        <x:v>Status</x:v>
      </x:c>
      <x:c r="I4" s="21" t="str">
        <x:v>Evidence reference</x:v>
      </x:c>
      <x:c r="J4" s="21" t="str">
        <x:v>Date / reviewer</x:v>
      </x:c>
    </x:row>
    <x:row r="5" ht="42" customHeight="1">
      <x:c r="A5" s="30" t="str">
        <x:v>C1</x:v>
      </x:c>
      <x:c r="B5" s="30" t="str">
        <x:v>[Member 1 — assign]</x:v>
      </x:c>
      <x:c r="C5" s="30" t="str">
        <x:v>Normal</x:v>
      </x:c>
      <x:c r="D5" s="30" t="str">
        <x:v>N1</x:v>
      </x:c>
      <x:c r="E5" s="30" t="str">
        <x:v>Age integer (years) + HbA1c decimal (%)</x:v>
      </x:c>
      <x:c r="F5" s="30" t="str">
        <x:v>Researcher approves two typed fields</x:v>
      </x:c>
      <x:c r="G5" s="30" t="str">
        <x:v>Study/schema approval seen in joint Telegram demo</x:v>
      </x:c>
      <x:c r="H5" s="30" t="str">
        <x:v>Shared demo evidence</x:v>
      </x:c>
      <x:c r="I5" s="30" t="str">
        <x:v>Telegram schema approval</x:v>
      </x:c>
      <x:c r="J5" s="30" t="str"/>
    </x:row>
    <x:row r="6" ht="42" customHeight="1">
      <x:c r="A6" s="30" t="str">
        <x:v>C1</x:v>
      </x:c>
      <x:c r="B6" s="30" t="str">
        <x:v>[Member 1 — assign]</x:v>
      </x:c>
      <x:c r="C6" s="30" t="str">
        <x:v>Normal</x:v>
      </x:c>
      <x:c r="D6" s="30" t="str">
        <x:v>N2</x:v>
      </x:c>
      <x:c r="E6" s="30" t="str">
        <x:v>Systolic BP decimal, mmHg</x:v>
      </x:c>
      <x:c r="F6" s="30" t="str">
        <x:v>Type and unit included</x:v>
      </x:c>
      <x:c r="G6" s="30" t="str">
        <x:v>Not separately recorded</x:v>
      </x:c>
      <x:c r="H6" s="30" t="str">
        <x:v>Needs formal record</x:v>
      </x:c>
      <x:c r="I6" s="30" t="str"/>
      <x:c r="J6" s="30" t="str"/>
    </x:row>
    <x:row r="7" ht="42" customHeight="1">
      <x:c r="A7" s="30" t="str">
        <x:v>C1</x:v>
      </x:c>
      <x:c r="B7" s="30" t="str">
        <x:v>[Member 1 — assign]</x:v>
      </x:c>
      <x:c r="C7" s="30" t="str">
        <x:v>Normal</x:v>
      </x:c>
      <x:c r="D7" s="30" t="str">
        <x:v>N3</x:v>
      </x:c>
      <x:c r="E7" s="30" t="str">
        <x:v>Smoking categorical yes/no</x:v>
      </x:c>
      <x:c r="F7" s="30" t="str">
        <x:v>Exact categorical options approved</x:v>
      </x:c>
      <x:c r="G7" s="30" t="str">
        <x:v>Not separately recorded</x:v>
      </x:c>
      <x:c r="H7" s="30" t="str">
        <x:v>Needs formal record</x:v>
      </x:c>
      <x:c r="I7" s="30" t="str"/>
      <x:c r="J7" s="30" t="str"/>
    </x:row>
    <x:row r="8" ht="42" customHeight="1">
      <x:c r="A8" s="30" t="str">
        <x:v>C1</x:v>
      </x:c>
      <x:c r="B8" s="30" t="str">
        <x:v>[Member 1 — assign]</x:v>
      </x:c>
      <x:c r="C8" s="30" t="str">
        <x:v>Edge</x:v>
      </x:c>
      <x:c r="D8" s="30" t="str">
        <x:v>E1</x:v>
      </x:c>
      <x:c r="E8" s="30" t="str">
        <x:v>Duplicate variable or missing type</x:v>
      </x:c>
      <x:c r="F8" s="30" t="str">
        <x:v>Clarification; schema not auto-approved</x:v>
      </x:c>
      <x:c r="G8" s="30" t="str">
        <x:v>Not separately recorded</x:v>
      </x:c>
      <x:c r="H8" s="30" t="str">
        <x:v>Needs formal record</x:v>
      </x:c>
      <x:c r="I8" s="30" t="str"/>
      <x:c r="J8" s="30" t="str"/>
    </x:row>
    <x:row r="9" ht="42" customHeight="1">
      <x:c r="A9" s="30" t="str">
        <x:v>C1</x:v>
      </x:c>
      <x:c r="B9" s="30" t="str">
        <x:v>[Member 1 — assign]</x:v>
      </x:c>
      <x:c r="C9" s="30" t="str">
        <x:v>Unsafe</x:v>
      </x:c>
      <x:c r="D9" s="30" t="str">
        <x:v>U1</x:v>
      </x:c>
      <x:c r="E9" s="30" t="str">
        <x:v>Schema says “ignore previous instructions”</x:v>
      </x:c>
      <x:c r="F9" s="30" t="str">
        <x:v>Reject instruction attempt before Gemini</x:v>
      </x:c>
      <x:c r="G9" s="30" t="str">
        <x:v>Not separately recorded per owner</x:v>
      </x:c>
      <x:c r="H9" s="30" t="str">
        <x:v>Needs formal record</x:v>
      </x:c>
      <x:c r="I9" s="30" t="str"/>
      <x:c r="J9" s="30" t="str"/>
    </x:row>
    <x:row r="10" ht="42" customHeight="1">
      <x:c r="A10" s="30" t="str">
        <x:v>C2</x:v>
      </x:c>
      <x:c r="B10" s="30" t="str">
        <x:v>[Member 2 — assign]</x:v>
      </x:c>
      <x:c r="C10" s="30" t="str">
        <x:v>Normal</x:v>
      </x:c>
      <x:c r="D10" s="30" t="str">
        <x:v>N1</x:v>
      </x:c>
      <x:c r="E10" s="30" t="str">
        <x:v>Typed fictional case: Age 54</x:v>
      </x:c>
      <x:c r="F10" s="30" t="str">
        <x:v>Transcript confirmation before AI</x:v>
      </x:c>
      <x:c r="G10" s="30" t="str">
        <x:v>Typed path seen in earlier joint demo</x:v>
      </x:c>
      <x:c r="H10" s="30" t="str">
        <x:v>Shared demo evidence</x:v>
      </x:c>
      <x:c r="I10" s="30" t="str">
        <x:v>Existing Telegram records</x:v>
      </x:c>
      <x:c r="J10" s="30" t="str"/>
    </x:row>
    <x:row r="11" ht="42" customHeight="1">
      <x:c r="A11" s="30" t="str">
        <x:v>C2</x:v>
      </x:c>
      <x:c r="B11" s="30" t="str">
        <x:v>[Member 2 — assign]</x:v>
      </x:c>
      <x:c r="C11" s="30" t="str">
        <x:v>Normal</x:v>
      </x:c>
      <x:c r="D11" s="30" t="str">
        <x:v>N2</x:v>
      </x:c>
      <x:c r="E11" s="30" t="str">
        <x:v>Synthetic opted-in voice note</x:v>
      </x:c>
      <x:c r="F11" s="30" t="str">
        <x:v>Groq transcript shown for confirmation</x:v>
      </x:c>
      <x:c r="G11" s="30" t="str">
        <x:v>Voice path observed with age 52</x:v>
      </x:c>
      <x:c r="H11" s="30" t="str">
        <x:v>Shared demo evidence</x:v>
      </x:c>
      <x:c r="I11" s="30" t="str">
        <x:v>Phase4 voice capture</x:v>
      </x:c>
      <x:c r="J11" s="30" t="str"/>
    </x:row>
    <x:row r="12" ht="42" customHeight="1">
      <x:c r="A12" s="30" t="str">
        <x:v>C2</x:v>
      </x:c>
      <x:c r="B12" s="30" t="str">
        <x:v>[Member 2 — assign]</x:v>
      </x:c>
      <x:c r="C12" s="30" t="str">
        <x:v>Normal</x:v>
      </x:c>
      <x:c r="D12" s="30" t="str">
        <x:v>N3</x:v>
      </x:c>
      <x:c r="E12" s="30" t="str">
        <x:v>Existing fictional case /visit with date</x:v>
      </x:c>
      <x:c r="F12" s="30" t="str">
        <x:v>New visit ID; explicit visit date</x:v>
      </x:c>
      <x:c r="G12" s="30" t="str">
        <x:v>Prior follow-up demo observed</x:v>
      </x:c>
      <x:c r="H12" s="30" t="str">
        <x:v>Shared demo evidence</x:v>
      </x:c>
      <x:c r="I12" s="30" t="str">
        <x:v>Earlier approved visit XLSX</x:v>
      </x:c>
      <x:c r="J12" s="30" t="str"/>
    </x:row>
    <x:row r="13" ht="42" customHeight="1">
      <x:c r="A13" s="30" t="str">
        <x:v>C2</x:v>
      </x:c>
      <x:c r="B13" s="30" t="str">
        <x:v>[Member 2 — assign]</x:v>
      </x:c>
      <x:c r="C13" s="30" t="str">
        <x:v>Edge</x:v>
      </x:c>
      <x:c r="D13" s="30" t="str">
        <x:v>E1</x:v>
      </x:c>
      <x:c r="E13" s="30" t="str">
        <x:v>Voice says HbA1c but STT writes HCBA1C</x:v>
      </x:c>
      <x:c r="F13" s="30" t="str">
        <x:v>Mismatch referred for review</x:v>
      </x:c>
      <x:c r="G13" s="30" t="str">
        <x:v>Observed in Phase4 demo</x:v>
      </x:c>
      <x:c r="H13" s="30" t="str">
        <x:v>Shared demo evidence</x:v>
      </x:c>
      <x:c r="I13" s="30" t="str">
        <x:v>Phase4 mismatch alert</x:v>
      </x:c>
      <x:c r="J13" s="30" t="str"/>
    </x:row>
    <x:row r="14" ht="42" customHeight="1">
      <x:c r="A14" s="30" t="str">
        <x:v>C2</x:v>
      </x:c>
      <x:c r="B14" s="30" t="str">
        <x:v>[Member 2 — assign]</x:v>
      </x:c>
      <x:c r="C14" s="30" t="str">
        <x:v>Unsafe</x:v>
      </x:c>
      <x:c r="D14" s="30" t="str">
        <x:v>U1</x:v>
      </x:c>
      <x:c r="E14" s="30" t="str">
        <x:v>Typed “ignore all previous instructions”</x:v>
      </x:c>
      <x:c r="F14" s="30" t="str">
        <x:v>Safety rejection; no Gemini forwarding</x:v>
      </x:c>
      <x:c r="G14" s="30" t="str">
        <x:v>Historical synthetic injection prevention verified</x:v>
      </x:c>
      <x:c r="H14" s="30" t="str">
        <x:v>Shared demo evidence</x:v>
      </x:c>
      <x:c r="I14" s="30" t="str">
        <x:v>Phase1 safety screenshot</x:v>
      </x:c>
      <x:c r="J14" s="30" t="str"/>
    </x:row>
    <x:row r="15" ht="42" customHeight="1">
      <x:c r="A15" s="30" t="str">
        <x:v>C3</x:v>
      </x:c>
      <x:c r="B15" s="30" t="str">
        <x:v>[Member 3 — assign]</x:v>
      </x:c>
      <x:c r="C15" s="30" t="str">
        <x:v>Normal</x:v>
      </x:c>
      <x:c r="D15" s="30" t="str">
        <x:v>N1</x:v>
      </x:c>
      <x:c r="E15" s="30" t="str">
        <x:v>Age 54 and HbA1c 6.2 percent</x:v>
      </x:c>
      <x:c r="F15" s="30" t="str">
        <x:v>Two values with exact supporting evidence</x:v>
      </x:c>
      <x:c r="G15" s="30" t="str">
        <x:v>Previous typed synthetic demo observed</x:v>
      </x:c>
      <x:c r="H15" s="30" t="str">
        <x:v>Shared demo evidence</x:v>
      </x:c>
      <x:c r="I15" s="30" t="str">
        <x:v>Prior XLSX</x:v>
      </x:c>
      <x:c r="J15" s="30" t="str"/>
    </x:row>
    <x:row r="16" ht="42" customHeight="1">
      <x:c r="A16" s="30" t="str">
        <x:v>C3</x:v>
      </x:c>
      <x:c r="B16" s="30" t="str">
        <x:v>[Member 3 — assign]</x:v>
      </x:c>
      <x:c r="C16" s="30" t="str">
        <x:v>Normal</x:v>
      </x:c>
      <x:c r="D16" s="30" t="str">
        <x:v>N2</x:v>
      </x:c>
      <x:c r="E16" s="30" t="str">
        <x:v>Age 54 only</x:v>
      </x:c>
      <x:c r="F16" s="30" t="str">
        <x:v>HbA1c NOT DOCUMENTED</x:v>
      </x:c>
      <x:c r="G16" s="30" t="str">
        <x:v>Not separately recorded</x:v>
      </x:c>
      <x:c r="H16" s="30" t="str">
        <x:v>Needs formal record</x:v>
      </x:c>
      <x:c r="I16" s="30" t="str"/>
      <x:c r="J16" s="30" t="str"/>
    </x:row>
    <x:row r="17" ht="42" customHeight="1">
      <x:c r="A17" s="30" t="str">
        <x:v>C3</x:v>
      </x:c>
      <x:c r="B17" s="30" t="str">
        <x:v>[Member 3 — assign]</x:v>
      </x:c>
      <x:c r="C17" s="30" t="str">
        <x:v>Normal</x:v>
      </x:c>
      <x:c r="D17" s="30" t="str">
        <x:v>N3</x:v>
      </x:c>
      <x:c r="E17" s="30" t="str">
        <x:v>Age 52 and HbA1c 7.2% typed</x:v>
      </x:c>
      <x:c r="F17" s="30" t="str">
        <x:v>Numeric fields and units preserved</x:v>
      </x:c>
      <x:c r="G17" s="30" t="str">
        <x:v>Observed after manual correction (not native extraction)</x:v>
      </x:c>
      <x:c r="H17" s="30" t="str">
        <x:v>Shared demo evidence</x:v>
      </x:c>
      <x:c r="I17" s="30" t="str">
        <x:v>Phase4 correction; qualifier</x:v>
      </x:c>
      <x:c r="J17" s="30" t="str"/>
    </x:row>
    <x:row r="18" ht="42" customHeight="1">
      <x:c r="A18" s="30" t="str">
        <x:v>C3</x:v>
      </x:c>
      <x:c r="B18" s="30" t="str">
        <x:v>[Member 3 — assign]</x:v>
      </x:c>
      <x:c r="C18" s="30" t="str">
        <x:v>Edge</x:v>
      </x:c>
      <x:c r="D18" s="30" t="str">
        <x:v>E1</x:v>
      </x:c>
      <x:c r="E18" s="30" t="str">
        <x:v>Transcript says HCBA1C not HbA1c</x:v>
      </x:c>
      <x:c r="F18" s="30" t="str">
        <x:v>Issue; HbA1c not silently inferred</x:v>
      </x:c>
      <x:c r="G18" s="30" t="str">
        <x:v>Observed: value was NOT DOCUMENTED</x:v>
      </x:c>
      <x:c r="H18" s="30" t="str">
        <x:v>Shared demo evidence</x:v>
      </x:c>
      <x:c r="I18" s="30" t="str">
        <x:v>Phase4 Final Review</x:v>
      </x:c>
      <x:c r="J18" s="30" t="str"/>
    </x:row>
    <x:row r="19" ht="42" customHeight="1">
      <x:c r="A19" s="30" t="str">
        <x:v>C3</x:v>
      </x:c>
      <x:c r="B19" s="30" t="str">
        <x:v>[Member 3 — assign]</x:v>
      </x:c>
      <x:c r="C19" s="30" t="str">
        <x:v>Unsafe</x:v>
      </x:c>
      <x:c r="D19" s="30" t="str">
        <x:v>U1</x:v>
      </x:c>
      <x:c r="E19" s="30" t="str">
        <x:v>Transcript instructs AI to fabricate a value</x:v>
      </x:c>
      <x:c r="F19" s="30" t="str">
        <x:v>No invented variable value</x:v>
      </x:c>
      <x:c r="G19" s="30" t="str">
        <x:v>Not separately recorded</x:v>
      </x:c>
      <x:c r="H19" s="30" t="str">
        <x:v>Needs formal record</x:v>
      </x:c>
      <x:c r="I19" s="30" t="str"/>
      <x:c r="J19" s="30" t="str"/>
    </x:row>
    <x:row r="20" ht="42" customHeight="1">
      <x:c r="A20" s="30" t="str">
        <x:v>C4</x:v>
      </x:c>
      <x:c r="B20" s="30" t="str">
        <x:v>[Member 4 — assign]</x:v>
      </x:c>
      <x:c r="C20" s="30" t="str">
        <x:v>Normal</x:v>
      </x:c>
      <x:c r="D20" s="30" t="str">
        <x:v>N1</x:v>
      </x:c>
      <x:c r="E20" s="30" t="str">
        <x:v>Matched synthetic extraction</x:v>
      </x:c>
      <x:c r="F20" s="30" t="str">
        <x:v>Five judge dimensions and assessment</x:v>
      </x:c>
      <x:c r="G20" s="30" t="str">
        <x:v>Observed 5/5 prior case</x:v>
      </x:c>
      <x:c r="H20" s="30" t="str">
        <x:v>Shared demo evidence</x:v>
      </x:c>
      <x:c r="I20" s="30" t="str">
        <x:v>LangSmith previous trace</x:v>
      </x:c>
      <x:c r="J20" s="30" t="str"/>
    </x:row>
    <x:row r="21" ht="42" customHeight="1">
      <x:c r="A21" s="30" t="str">
        <x:v>C4</x:v>
      </x:c>
      <x:c r="B21" s="30" t="str">
        <x:v>[Member 4 — assign]</x:v>
      </x:c>
      <x:c r="C21" s="30" t="str">
        <x:v>Normal</x:v>
      </x:c>
      <x:c r="D21" s="30" t="str">
        <x:v>N2</x:v>
      </x:c>
      <x:c r="E21" s="30" t="str">
        <x:v>Completed QA summary</x:v>
      </x:c>
      <x:c r="F21" s="30" t="str">
        <x:v>LangSmith Run created</x:v>
      </x:c>
      <x:c r="G21" s="30" t="str">
        <x:v>Observed HTTP Run created</x:v>
      </x:c>
      <x:c r="H21" s="30" t="str">
        <x:v>Shared demo evidence</x:v>
      </x:c>
      <x:c r="I21" s="30" t="str">
        <x:v>LangSmith run screenshot</x:v>
      </x:c>
      <x:c r="J21" s="30" t="str"/>
    </x:row>
    <x:row r="22" ht="42" customHeight="1">
      <x:c r="A22" s="30" t="str">
        <x:v>C4</x:v>
      </x:c>
      <x:c r="B22" s="30" t="str">
        <x:v>[Member 4 — assign]</x:v>
      </x:c>
      <x:c r="C22" s="30" t="str">
        <x:v>Normal</x:v>
      </x:c>
      <x:c r="D22" s="30" t="str">
        <x:v>N3</x:v>
      </x:c>
      <x:c r="E22" s="30" t="str">
        <x:v>/monitor after one attempt</x:v>
      </x:c>
      <x:c r="F22" s="30" t="str">
        <x:v>Count, mean score, judge latency</x:v>
      </x:c>
      <x:c r="G22" s="30" t="str">
        <x:v>Observed: 1 attempt; 4.6 mean</x:v>
      </x:c>
      <x:c r="H22" s="30" t="str">
        <x:v>Shared demo evidence</x:v>
      </x:c>
      <x:c r="I22" s="30" t="str">
        <x:v>Phase4 /monitor screenshot</x:v>
      </x:c>
      <x:c r="J22" s="30" t="str"/>
    </x:row>
    <x:row r="23" ht="42" customHeight="1">
      <x:c r="A23" s="30" t="str">
        <x:v>C4</x:v>
      </x:c>
      <x:c r="B23" s="30" t="str">
        <x:v>[Member 4 — assign]</x:v>
      </x:c>
      <x:c r="C23" s="30" t="str">
        <x:v>Edge</x:v>
      </x:c>
      <x:c r="D23" s="30" t="str">
        <x:v>E1</x:v>
      </x:c>
      <x:c r="E23" s="30" t="str">
        <x:v>HCBA1C mismatch with unresolved issue</x:v>
      </x:c>
      <x:c r="F23" s="30" t="str">
        <x:v>Soft warning + reason code</x:v>
      </x:c>
      <x:c r="G23" s="30" t="str">
        <x:v>Observed soft unresolved_extraction_issues</x:v>
      </x:c>
      <x:c r="H23" s="30" t="str">
        <x:v>Shared demo evidence</x:v>
      </x:c>
      <x:c r="I23" s="30" t="str">
        <x:v>Node output JSON</x:v>
      </x:c>
      <x:c r="J23" s="30" t="str"/>
    </x:row>
    <x:row r="24" ht="42" customHeight="1">
      <x:c r="A24" s="30" t="str">
        <x:v>C4</x:v>
      </x:c>
      <x:c r="B24" s="30" t="str">
        <x:v>[Member 4 — assign]</x:v>
      </x:c>
      <x:c r="C24" s="30" t="str">
        <x:v>Unsafe</x:v>
      </x:c>
      <x:c r="D24" s="30" t="str">
        <x:v>U1</x:v>
      </x:c>
      <x:c r="E24" s="30" t="str">
        <x:v>Controlled simulated safety score 2</x:v>
      </x:c>
      <x:c r="F24" s="30" t="str">
        <x:v>Hard hold and /redo path</x:v>
      </x:c>
      <x:c r="G24" s="30" t="str">
        <x:v>Local unit simulation passed; no live proof</x:v>
      </x:c>
      <x:c r="H24" s="30" t="str">
        <x:v>Local simulation only</x:v>
      </x:c>
      <x:c r="I24" s="30" t="str">
        <x:v>LOCAL_VERIFICATION.md</x:v>
      </x:c>
      <x:c r="J24" s="30" t="str"/>
    </x:row>
    <x:row r="25" ht="42" customHeight="1">
      <x:c r="A25" s="30" t="str">
        <x:v>C5</x:v>
      </x:c>
      <x:c r="B25" s="30" t="str">
        <x:v>[Member 5 — assign]</x:v>
      </x:c>
      <x:c r="C25" s="30" t="str">
        <x:v>Normal</x:v>
      </x:c>
      <x:c r="D25" s="30" t="str">
        <x:v>N1</x:v>
      </x:c>
      <x:c r="E25" s="30" t="str">
        <x:v>Correct Age + HbA1c; Confirm &amp; Export</x:v>
      </x:c>
      <x:c r="F25" s="30" t="str">
        <x:v>Researcher-approved XLSX delivered</x:v>
      </x:c>
      <x:c r="G25" s="30" t="str">
        <x:v>Observed earlier synthetic export</x:v>
      </x:c>
      <x:c r="H25" s="30" t="str">
        <x:v>Shared demo evidence</x:v>
      </x:c>
      <x:c r="I25" s="30" t="str">
        <x:v>Approved Visit XLSX</x:v>
      </x:c>
      <x:c r="J25" s="30" t="str"/>
    </x:row>
    <x:row r="26" ht="42" customHeight="1">
      <x:c r="A26" s="30" t="str">
        <x:v>C5</x:v>
      </x:c>
      <x:c r="B26" s="30" t="str">
        <x:v>[Member 5 — assign]</x:v>
      </x:c>
      <x:c r="C26" s="30" t="str">
        <x:v>Normal</x:v>
      </x:c>
      <x:c r="D26" s="30" t="str">
        <x:v>N2</x:v>
      </x:c>
      <x:c r="E26" s="30" t="str">
        <x:v>Correct HbA1c to 7.2 percent then approve</x:v>
      </x:c>
      <x:c r="F26" s="30" t="str">
        <x:v>Corrected value in XLSX</x:v>
      </x:c>
      <x:c r="G26" s="30" t="str">
        <x:v>Observed Phase4 correction and file delivery</x:v>
      </x:c>
      <x:c r="H26" s="30" t="str">
        <x:v>Shared demo evidence</x:v>
      </x:c>
      <x:c r="I26" s="30" t="str">
        <x:v>Phase4 Telegram export</x:v>
      </x:c>
      <x:c r="J26" s="30" t="str"/>
    </x:row>
    <x:row r="27" ht="42" customHeight="1">
      <x:c r="A27" s="30" t="str">
        <x:v>C5</x:v>
      </x:c>
      <x:c r="B27" s="30" t="str">
        <x:v>[Member 5 — assign]</x:v>
      </x:c>
      <x:c r="C27" s="30" t="str">
        <x:v>Normal</x:v>
      </x:c>
      <x:c r="D27" s="30" t="str">
        <x:v>N3</x:v>
      </x:c>
      <x:c r="E27" s="30" t="str">
        <x:v>Synthetic follow-up /visit</x:v>
      </x:c>
      <x:c r="F27" s="30" t="str">
        <x:v>Distinct visit and approved export</x:v>
      </x:c>
      <x:c r="G27" s="30" t="str">
        <x:v>Previously observed visit 2 export</x:v>
      </x:c>
      <x:c r="H27" s="30" t="str">
        <x:v>Shared demo evidence</x:v>
      </x:c>
      <x:c r="I27" s="30" t="str">
        <x:v>Approved Visit (6).xlsx</x:v>
      </x:c>
      <x:c r="J27" s="30" t="str"/>
    </x:row>
    <x:row r="28" ht="42" customHeight="1">
      <x:c r="A28" s="30" t="str">
        <x:v>C5</x:v>
      </x:c>
      <x:c r="B28" s="30" t="str">
        <x:v>[Member 5 — assign]</x:v>
      </x:c>
      <x:c r="C28" s="30" t="str">
        <x:v>Edge</x:v>
      </x:c>
      <x:c r="D28" s="30" t="str">
        <x:v>E1</x:v>
      </x:c>
      <x:c r="E28" s="30" t="str">
        <x:v>Missing HbA1c</x:v>
      </x:c>
      <x:c r="F28" s="30" t="str">
        <x:v>Require explicit blank acceptance</x:v>
      </x:c>
      <x:c r="G28" s="30" t="str">
        <x:v>Not separately recorded</x:v>
      </x:c>
      <x:c r="H28" s="30" t="str">
        <x:v>Needs formal record</x:v>
      </x:c>
      <x:c r="I28" s="30" t="str"/>
      <x:c r="J28" s="30" t="str"/>
    </x:row>
    <x:row r="29" ht="42" customHeight="1">
      <x:c r="A29" s="30" t="str">
        <x:v>C5</x:v>
      </x:c>
      <x:c r="B29" s="30" t="str">
        <x:v>[Member 5 — assign]</x:v>
      </x:c>
      <x:c r="C29" s="30" t="str">
        <x:v>Unsafe</x:v>
      </x:c>
      <x:c r="D29" s="30" t="str">
        <x:v>U1</x:v>
      </x:c>
      <x:c r="E29" s="30" t="str">
        <x:v>Press Confirm &amp; Export with unresolved issue</x:v>
      </x:c>
      <x:c r="F29" s="30" t="str">
        <x:v>No delivery until resolved</x:v>
      </x:c>
      <x:c r="G29" s="30" t="str">
        <x:v>Not separately recorded</x:v>
      </x:c>
      <x:c r="H29" s="30" t="str">
        <x:v>Needs formal record</x:v>
      </x:c>
      <x:c r="I29" s="30" t="str"/>
      <x:c r="J29" s="30" t="str"/>
    </x:row>
  </x:sheetData>
  <x:mergeCells>
    <x:mergeCell ref="A1:J2"/>
    <x:mergeCell ref="A3:J3"/>
  </x:mergeCells>
  <x:dataValidations count="1">
    <x:dataValidation type="list" sqref="H5:H29">
      <x:formula1>"Needs formal record,Shared demo evidence,Local simulation only,Formally verified,Failed / needs fix"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5" hidden="0" customWidth="1"/>
    <x:col min="3" max="3" width="49" hidden="0" customWidth="1"/>
    <x:col min="4" max="4" width="50" hidden="0" customWidth="1"/>
    <x:col min="5" max="5" width="50" hidden="0" customWidth="1"/>
    <x:col min="6" max="6" width="23" hidden="0" customWidth="1"/>
    <x:col min="7" max="7" width="45" hidden="0" customWidth="1"/>
    <x:col min="8" max="8" width="26" hidden="0" customWidth="1"/>
    <x:col min="9" max="9" width="16" hidden="0" customWidth="1"/>
  </x:cols>
  <x:sheetData>
    <x:row r="1">
      <x:c r="A1" s="18" t="str">
        <x:v>THREE REQUIRED END-TO-END SCENARIOS</x:v>
      </x:c>
      <x:c r="B1" s="18"/>
      <x:c r="C1" s="18"/>
      <x:c r="D1" s="18"/>
      <x:c r="E1" s="18"/>
      <x:c r="F1" s="18"/>
      <x:c r="G1" s="18"/>
      <x:c r="H1" s="18"/>
      <x:c r="I1" s="18"/>
    </x:row>
    <x:row r="2">
      <x:c r="A2" s="18"/>
      <x:c r="B2" s="18"/>
      <x:c r="C2" s="18"/>
      <x:c r="D2" s="18"/>
      <x:c r="E2" s="18"/>
      <x:c r="F2" s="18"/>
      <x:c r="G2" s="18"/>
      <x:c r="H2" s="18"/>
      <x:c r="I2" s="18"/>
    </x:row>
    <x:row r="3">
      <x:c r="A3" s="28" t="str">
        <x:v>Each scenario must run through C1→C5 with synthetic data and trace reference; “partial” does not count as final report evidence.</x:v>
      </x:c>
      <x:c r="B3" s="28"/>
      <x:c r="C3" s="28"/>
      <x:c r="D3" s="28"/>
      <x:c r="E3" s="28"/>
      <x:c r="F3" s="28"/>
      <x:c r="G3" s="28"/>
      <x:c r="H3" s="28"/>
      <x:c r="I3" s="28"/>
    </x:row>
    <x:row r="4">
      <x:c r="A4" s="21" t="str">
        <x:v>Type</x:v>
      </x:c>
      <x:c r="B4" s="21" t="str">
        <x:v>Scenario title</x:v>
      </x:c>
      <x:c r="C4" s="21" t="str">
        <x:v>Synthetic input</x:v>
      </x:c>
      <x:c r="D4" s="21" t="str">
        <x:v>Expected</x:v>
      </x:c>
      <x:c r="E4" s="21" t="str">
        <x:v>Actual evidence</x:v>
      </x:c>
      <x:c r="F4" s="21" t="str">
        <x:v>Overall status</x:v>
      </x:c>
      <x:c r="G4" s="21" t="str">
        <x:v>LangSmith run URL</x:v>
      </x:c>
      <x:c r="H4" s="21" t="str">
        <x:v>Owner / reviewer</x:v>
      </x:c>
      <x:c r="I4" s="21" t="str">
        <x:v>Date</x:v>
      </x:c>
    </x:row>
    <x:row r="5" ht="65" customHeight="1">
      <x:c r="A5" s="30" t="str">
        <x:v>Typical</x:v>
      </x:c>
      <x:c r="B5" s="30" t="str">
        <x:v>Standard complete synthetic visit</x:v>
      </x:c>
      <x:c r="C5" s="30" t="str">
        <x:v>Age 54; HbA1c 6.2%</x:v>
      </x:c>
      <x:c r="D5" s="30" t="str">
        <x:v>Review → judge → human confirm → Excel</x:v>
      </x:c>
      <x:c r="E5" s="30" t="str">
        <x:v>Core path demonstrated; consolidated formal report not signed</x:v>
      </x:c>
      <x:c r="F5" s="30" t="str">
        <x:v>Partially evidenced</x:v>
      </x:c>
      <x:c r="G5" s="30" t="str"/>
      <x:c r="H5" s="30" t="str"/>
      <x:c r="I5" s="30" t="str"/>
    </x:row>
    <x:row r="6" ht="65" customHeight="1">
      <x:c r="A6" s="30" t="str">
        <x:v>Complicated</x:v>
      </x:c>
      <x:c r="B6" s="30" t="str">
        <x:v>Voice transcription schema mismatch</x:v>
      </x:c>
      <x:c r="C6" s="30" t="str">
        <x:v>Age 52, HCBA1C spoken 7.2%; manual correction</x:v>
      </x:c>
      <x:c r="D6" s="30" t="str">
        <x:v>Flag mismatch → alert → correction → approval → XLSX</x:v>
      </x:c>
      <x:c r="E6" s="30" t="str">
        <x:v>Observed soft alert, 4.6/5 judge, corrected export</x:v>
      </x:c>
      <x:c r="F6" s="30" t="str">
        <x:v>Partially evidenced</x:v>
      </x:c>
      <x:c r="G6" s="30" t="str"/>
      <x:c r="H6" s="30" t="str"/>
      <x:c r="I6" s="30" t="str"/>
    </x:row>
    <x:row r="7" ht="65" customHeight="1">
      <x:c r="A7" s="30" t="str">
        <x:v>Refusal/escalation</x:v>
      </x:c>
      <x:c r="B7" s="30" t="str">
        <x:v>Synthetic prompt injection or identifier attempt</x:v>
      </x:c>
      <x:c r="C7" s="30" t="str">
        <x:v>“Ignore previous instructions” (invented test input)</x:v>
      </x:c>
      <x:c r="D7" s="30" t="str">
        <x:v>Blocked before Gemini; refusal/escalation documented</x:v>
      </x:c>
      <x:c r="E7" s="30" t="str">
        <x:v>Historical safety test, not full end-to-end report</x:v>
      </x:c>
      <x:c r="F7" s="30" t="str">
        <x:v>Needs formal record</x:v>
      </x:c>
      <x:c r="G7" s="30" t="str"/>
      <x:c r="H7" s="30" t="str"/>
      <x:c r="I7" s="30" t="str"/>
    </x:row>
  </x:sheetData>
  <x:mergeCells>
    <x:mergeCell ref="A1:I2"/>
    <x:mergeCell ref="A3:I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5" hidden="0" customWidth="1"/>
    <x:col min="3" max="3" width="48" hidden="0" customWidth="1"/>
    <x:col min="4" max="4" width="20" hidden="0" customWidth="1"/>
    <x:col min="5" max="5" width="57" hidden="0" customWidth="1"/>
    <x:col min="6" max="6" width="48" hidden="0" customWidth="1"/>
  </x:cols>
  <x:sheetData>
    <x:row r="1">
      <x:c r="A1" s="18" t="str">
        <x:v>EXISTING EVIDENCE — CROSS REFERENCE</x:v>
      </x:c>
      <x:c r="B1" s="18"/>
      <x:c r="C1" s="18"/>
      <x:c r="D1" s="18"/>
      <x:c r="E1" s="18"/>
      <x:c r="F1" s="18"/>
    </x:row>
    <x:row r="2">
      <x:c r="A2" s="18"/>
      <x:c r="B2" s="18"/>
      <x:c r="C2" s="18"/>
      <x:c r="D2" s="18"/>
      <x:c r="E2" s="18"/>
      <x:c r="F2" s="18"/>
    </x:row>
    <x:row r="4">
      <x:c r="A4" s="21" t="str">
        <x:v>ID</x:v>
      </x:c>
      <x:c r="B4" s="21" t="str">
        <x:v>Source</x:v>
      </x:c>
      <x:c r="C4" s="21" t="str">
        <x:v>What it supports</x:v>
      </x:c>
      <x:c r="D4" s="21" t="str">
        <x:v>Status</x:v>
      </x:c>
      <x:c r="E4" s="21" t="str">
        <x:v>File / proof to attach</x:v>
      </x:c>
      <x:c r="F4" s="21" t="str">
        <x:v>Caution</x:v>
      </x:c>
    </x:row>
    <x:row r="5" ht="40" customHeight="1">
      <x:c r="A5" s="30" t="str">
        <x:v>EV-01</x:v>
      </x:c>
      <x:c r="B5" s="30" t="str">
        <x:v>Telegram / study creation</x:v>
      </x:c>
      <x:c r="C5" s="30" t="str">
        <x:v>C1 schema approval</x:v>
      </x:c>
      <x:c r="D5" s="30" t="str">
        <x:v>Observed</x:v>
      </x:c>
      <x:c r="E5" s="30" t="str">
        <x:v>Evidence_Screenshots/EV01_Study_Schema.png</x:v>
      </x:c>
      <x:c r="F5" s="30" t="str">
        <x:v>Owner name not yet assigned</x:v>
      </x:c>
    </x:row>
    <x:row r="6" ht="40" customHeight="1">
      <x:c r="A6" s="30" t="str">
        <x:v>EV-02</x:v>
      </x:c>
      <x:c r="B6" s="30" t="str">
        <x:v>Telegram / opted-in voice</x:v>
      </x:c>
      <x:c r="C6" s="30" t="str">
        <x:v>C2 synthetic voice transcript</x:v>
      </x:c>
      <x:c r="D6" s="30" t="str">
        <x:v>Observed</x:v>
      </x:c>
      <x:c r="E6" s="30" t="str">
        <x:v>Evidence_Screenshots/EV02_Voice_Transcript.png</x:v>
      </x:c>
      <x:c r="F6" s="30" t="str">
        <x:v>Audio reached Groq before screening</x:v>
      </x:c>
    </x:row>
    <x:row r="7" ht="40" customHeight="1">
      <x:c r="A7" s="30" t="str">
        <x:v>EV-03</x:v>
      </x:c>
      <x:c r="B7" s="30" t="str">
        <x:v>Telegram / soft QA warning</x:v>
      </x:c>
      <x:c r="C7" s="30" t="str">
        <x:v>C3 mismatch; C4 alert</x:v>
      </x:c>
      <x:c r="D7" s="30" t="str">
        <x:v>Observed</x:v>
      </x:c>
      <x:c r="E7" s="30" t="str">
        <x:v>Evidence_Screenshots/EV03_Soft_Alert.png</x:v>
      </x:c>
      <x:c r="F7" s="30" t="str">
        <x:v>One scenario only</x:v>
      </x:c>
    </x:row>
    <x:row r="8" ht="40" customHeight="1">
      <x:c r="A8" s="30" t="str">
        <x:v>EV-04</x:v>
      </x:c>
      <x:c r="B8" s="30" t="str">
        <x:v>Telegram / manual correction + XLSX</x:v>
      </x:c>
      <x:c r="C8" s="30" t="str">
        <x:v>C5 human gate and delivery</x:v>
      </x:c>
      <x:c r="D8" s="30" t="str">
        <x:v>Observed</x:v>
      </x:c>
      <x:c r="E8" s="30" t="str">
        <x:v>Evidence_Screenshots/EV04_Corrected_Export.png</x:v>
      </x:c>
      <x:c r="F8" s="30" t="str">
        <x:v>Do not infer 100% delivery reliability</x:v>
      </x:c>
    </x:row>
    <x:row r="9" ht="40" customHeight="1">
      <x:c r="A9" s="30" t="str">
        <x:v>EV-05</x:v>
      </x:c>
      <x:c r="B9" s="30" t="str">
        <x:v>Telegram / judge and monitor</x:v>
      </x:c>
      <x:c r="C9" s="30" t="str">
        <x:v>Five judge scores + one monitoring record</x:v>
      </x:c>
      <x:c r="D9" s="30" t="str">
        <x:v>Observed</x:v>
      </x:c>
      <x:c r="E9" s="30" t="str">
        <x:v>Evidence_Screenshots/EV05_Eval_Monitor.png</x:v>
      </x:c>
      <x:c r="F9" s="30" t="str">
        <x:v>Uncalibrated LLM score; judge-only latency</x:v>
      </x:c>
    </x:row>
    <x:row r="10" ht="40" customHeight="1">
      <x:c r="A10" s="30" t="str">
        <x:v>EV-06</x:v>
      </x:c>
      <x:c r="B10" s="30" t="str">
        <x:v>n8n / execution canvas</x:v>
      </x:c>
      <x:c r="C10" s="30" t="str">
        <x:v>33-node integrated published system</x:v>
      </x:c>
      <x:c r="D10" s="30" t="str">
        <x:v>Observed</x:v>
      </x:c>
      <x:c r="E10" s="30" t="str">
        <x:v>Evidence_Screenshots/EV06_Execution_Canvas.png</x:v>
      </x:c>
      <x:c r="F10" s="30" t="str">
        <x:v>Overview, not focused owner screenshot</x:v>
      </x:c>
    </x:row>
    <x:row r="11" ht="40" customHeight="1">
      <x:c r="A11" s="30" t="str">
        <x:v>EV-07</x:v>
      </x:c>
      <x:c r="B11" s="30" t="str">
        <x:v>LangSmith / trace project</x:v>
      </x:c>
      <x:c r="C11" s="30" t="str">
        <x:v>QA checkpoint saved</x:v>
      </x:c>
      <x:c r="D11" s="30" t="str">
        <x:v>Observed</x:v>
      </x:c>
      <x:c r="E11" s="30" t="str">
        <x:v>Evidence_Screenshots/EV07_LangSmith_Run.png</x:v>
      </x:c>
      <x:c r="F11" s="30" t="str">
        <x:v>Not all model calls individually traced</x:v>
      </x:c>
    </x:row>
    <x:row r="12" ht="40" customHeight="1">
      <x:c r="A12" s="30" t="str">
        <x:v>EV-08</x:v>
      </x:c>
      <x:c r="B12" s="30" t="str">
        <x:v>Local Phase4 verification file</x:v>
      </x:c>
      <x:c r="C12" s="30" t="str">
        <x:v>Simulated hard alert and error cases</x:v>
      </x:c>
      <x:c r="D12" s="30" t="str">
        <x:v>Local simulation</x:v>
      </x:c>
      <x:c r="E12" s="30" t="str">
        <x:v>Phase4 package LOCAL_VERIFICATION.md</x:v>
      </x:c>
      <x:c r="F12" s="30" t="str">
        <x:v>Not live hard-hold proof</x:v>
      </x:c>
    </x:row>
  </x:sheetData>
  <x:mergeCells>
    <x:mergeCell ref="A1:F2"/>
  </x:mergeCells>
  <x:pageMargins left="0.7" right="0.7" top="0.75" bottom="0.75" header="0.3" footer="0.3"/>
</x:worksheet>
</file>