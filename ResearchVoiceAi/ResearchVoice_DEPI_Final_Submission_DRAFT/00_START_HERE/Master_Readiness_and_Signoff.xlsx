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3d183fb37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" sheetId="1" r:id="Re796b0afd2d34016"/>
    <x:sheet xmlns:r="http://schemas.openxmlformats.org/officeDocument/2006/relationships" name="Owners" sheetId="2" r:id="R2442eb75fb6f4fba"/>
    <x:sheet xmlns:r="http://schemas.openxmlformats.org/officeDocument/2006/relationships" name="Checkpoints" sheetId="3" r:id="Rb8a3accd9b6a4938"/>
    <x:sheet xmlns:r="http://schemas.openxmlformats.org/officeDocument/2006/relationships" name="Evidence register" sheetId="4" r:id="Refdd95fd4e4e4cfa"/>
    <x:sheet xmlns:r="http://schemas.openxmlformats.org/officeDocument/2006/relationships" name="Summary" sheetId="5" r:id="Rb7f5797001b846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173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253D"/>
      </x:patternFill>
    </x:fill>
    <x:fill>
      <x:patternFill patternType="solid">
        <x:fgColor rgb="FFEAF4F4"/>
      </x:patternFill>
    </x:fill>
    <x:fill>
      <x:patternFill patternType="solid">
        <x:fgColor rgb="FF087E83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AF1DF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B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a6e509fa54b6a" /><Relationship Type="http://schemas.openxmlformats.org/officeDocument/2006/relationships/theme" Target="/xl/theme/theme1.xml" Id="R48a83fed7f864830" /><Relationship Type="http://schemas.openxmlformats.org/officeDocument/2006/relationships/sharedStrings" Target="/xl/sharedStrings.xml" Id="R626d6fbf0d2b4479" /><Relationship Type="http://schemas.openxmlformats.org/officeDocument/2006/relationships/worksheet" Target="/xl/worksheets/sheet1.xml" Id="Re796b0afd2d34016" /><Relationship Type="http://schemas.openxmlformats.org/officeDocument/2006/relationships/worksheet" Target="/xl/worksheets/sheet2.xml" Id="R2442eb75fb6f4fba" /><Relationship Type="http://schemas.openxmlformats.org/officeDocument/2006/relationships/worksheet" Target="/xl/worksheets/sheet3.xml" Id="Rb8a3accd9b6a4938" /><Relationship Type="http://schemas.openxmlformats.org/officeDocument/2006/relationships/worksheet" Target="/xl/worksheets/sheet4.xml" Id="Refdd95fd4e4e4cfa" /><Relationship Type="http://schemas.openxmlformats.org/officeDocument/2006/relationships/worksheet" Target="/xl/worksheets/sheet5.xml" Id="Rb7f5797001b846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6" hidden="0" customWidth="1"/>
    <x:col min="3" max="3" width="22" hidden="0" customWidth="1"/>
    <x:col min="4" max="4" width="23" hidden="0" customWidth="1"/>
    <x:col min="5" max="5" width="44" hidden="0" customWidth="1"/>
    <x:col min="6" max="6" width="58" hidden="0" customWidth="1"/>
  </x:cols>
  <x:sheetData>
    <x:row r="1" ht="34" customHeight="1">
      <x:c r="A1" s="4" t="str">
        <x:v>RESEARCHVOICE AI  |  DEPI FINAL READINESS</x:v>
      </x:c>
      <x:c r="B1" s="4"/>
      <x:c r="C1" s="4"/>
      <x:c r="D1" s="4"/>
      <x:c r="E1" s="4"/>
      <x:c r="F1" s="4"/>
    </x:row>
    <x:row r="2" ht="25" customHeight="1">
      <x:c r="A2" s="9" t="str">
        <x:v>Evidence-aware tracking • 27 October 2026 • not yet instructor-approved</x:v>
      </x:c>
      <x:c r="B2" s="9"/>
      <x:c r="C2" s="9"/>
      <x:c r="D2" s="9"/>
      <x:c r="E2" s="9"/>
      <x:c r="F2" s="9"/>
    </x:row>
    <x:row r="4" ht="26" customHeight="1">
      <x:c r="A4" s="14" t="str">
        <x:v>ID</x:v>
      </x:c>
      <x:c r="B4" s="14" t="str">
        <x:v>Guideline deliverable</x:v>
      </x:c>
      <x:c r="C4" s="14" t="str">
        <x:v>Evidence status</x:v>
      </x:c>
      <x:c r="D4" s="14" t="str">
        <x:v>Assigned person</x:v>
      </x:c>
      <x:c r="E4" s="14" t="str">
        <x:v>Evidence / file</x:v>
      </x:c>
      <x:c r="F4" s="14" t="str">
        <x:v>Remaining action</x:v>
      </x:c>
    </x:row>
    <x:row r="5" ht="32" customHeight="1">
      <x:c r="A5" s="18" t="str">
        <x:v>B01</x:v>
      </x:c>
      <x:c r="B5" s="18" t="str">
        <x:v>1-page Business Brief</x:v>
      </x:c>
      <x:c r="C5" s="18" t="str">
        <x:v>Draft ready</x:v>
      </x:c>
      <x:c r="D5" s="18" t="str"/>
      <x:c r="E5" s="18" t="str">
        <x:v>01_Business_Discovery/01_Business_Brief.docx</x:v>
      </x:c>
      <x:c r="F5" s="18" t="str">
        <x:v>Verify problem-cost number, buyer and KPI assumptions</x:v>
      </x:c>
    </x:row>
    <x:row r="6" ht="32" customHeight="1">
      <x:c r="A6" s="18" t="str">
        <x:v>B02</x:v>
      </x:c>
      <x:c r="B6" s="18" t="str">
        <x:v>3–5 KPI baseline / target / actual</x:v>
      </x:c>
      <x:c r="C6" s="18" t="str">
        <x:v>Needs team evidence</x:v>
      </x:c>
      <x:c r="D6" s="18" t="str"/>
      <x:c r="E6" s="18" t="str">
        <x:v>01_Business_Discovery/03_KPI_Table_A4.xlsx</x:v>
      </x:c>
      <x:c r="F6" s="18" t="str">
        <x:v>Measure baseline and synthetic test actuals</x:v>
      </x:c>
    </x:row>
    <x:row r="7" ht="32" customHeight="1">
      <x:c r="A7" s="18" t="str">
        <x:v>D01</x:v>
      </x:c>
      <x:c r="B7" s="18" t="str">
        <x:v>Features, integration, safety &amp; evaluation plans</x:v>
      </x:c>
      <x:c r="C7" s="18" t="str">
        <x:v>Draft ready</x:v>
      </x:c>
      <x:c r="D7" s="18" t="str"/>
      <x:c r="E7" s="18" t="str">
        <x:v>02_Solution_Design/02_Solution_Design.docx</x:v>
      </x:c>
      <x:c r="F7" s="18" t="str">
        <x:v>Confirm scope, five component ownership and risk owners</x:v>
      </x:c>
    </x:row>
    <x:row r="8" ht="32" customHeight="1">
      <x:c r="A8" s="18" t="str">
        <x:v>D02</x:v>
      </x:c>
      <x:c r="B8" s="18" t="str">
        <x:v>Instructor single-workflow exception</x:v>
      </x:c>
      <x:c r="C8" s="18" t="str">
        <x:v>Awaiting approval</x:v>
      </x:c>
      <x:c r="D8" s="18" t="str"/>
      <x:c r="E8" s="18" t="str">
        <x:v>06_Approvals_and_Signoff/Instructor_Review_Request.docx</x:v>
      </x:c>
      <x:c r="F8" s="18" t="str">
        <x:v>Attach written instructor approval if available</x:v>
      </x:c>
    </x:row>
    <x:row r="9" ht="32" customHeight="1">
      <x:c r="A9" s="18" t="str">
        <x:v>O01</x:v>
      </x:c>
      <x:c r="B9" s="18" t="str">
        <x:v>Assign five component owners and three shared roles</x:v>
      </x:c>
      <x:c r="C9" s="18" t="str">
        <x:v>Needs team evidence</x:v>
      </x:c>
      <x:c r="D9" s="18" t="str"/>
      <x:c r="E9" s="18" t="str">
        <x:v>00_START_HERE/Master_Readiness_and_Signoff.xlsx / Owners</x:v>
      </x:c>
      <x:c r="F9" s="18" t="str">
        <x:v>Fill five names and roles</x:v>
      </x:c>
    </x:row>
    <x:row r="10" ht="32" customHeight="1">
      <x:c r="A10" s="18" t="str">
        <x:v>W01</x:v>
      </x:c>
      <x:c r="B10" s="18" t="str">
        <x:v>Integrated Phase 4 n8n system</x:v>
      </x:c>
      <x:c r="C10" s="18" t="str">
        <x:v>Verified demo</x:v>
      </x:c>
      <x:c r="D10" s="18" t="str"/>
      <x:c r="E10" s="18" t="str">
        <x:v>03_Build/ResearchVoice_Phase4_Monitoring_Alerts_IMPORT.json</x:v>
      </x:c>
      <x:c r="F10" s="18" t="str">
        <x:v>Verify import credentials/production export date at hand-in</x:v>
      </x:c>
    </x:row>
    <x:row r="11" ht="32" customHeight="1">
      <x:c r="A11" s="18" t="str">
        <x:v>W02</x:v>
      </x:c>
      <x:c r="B11" s="18" t="str">
        <x:v>Five one-page owner documents</x:v>
      </x:c>
      <x:c r="C11" s="18" t="str">
        <x:v>Draft ready</x:v>
      </x:c>
      <x:c r="D11" s="18" t="str"/>
      <x:c r="E11" s="18" t="str">
        <x:v>03_Build/Owner_Documents/</x:v>
      </x:c>
      <x:c r="F11" s="18" t="str">
        <x:v>Each owner replaces screenshots and signs</x:v>
      </x:c>
    </x:row>
    <x:row r="12" ht="32" customHeight="1">
      <x:c r="A12" s="18" t="str">
        <x:v>T01</x:v>
      </x:c>
      <x:c r="B12" s="18" t="str">
        <x:v>3 normal + 1 edge + 1 unsafe per component</x:v>
      </x:c>
      <x:c r="C12" s="18" t="str">
        <x:v>Needs team evidence</x:v>
      </x:c>
      <x:c r="D12" s="18" t="str"/>
      <x:c r="E12" s="18" t="str">
        <x:v>03_Build/Individual_Test_Evidence_Tracker.xlsx</x:v>
      </x:c>
      <x:c r="F12" s="18" t="str">
        <x:v>Complete 25 expected/actual records and links</x:v>
      </x:c>
    </x:row>
    <x:row r="13" ht="32" customHeight="1">
      <x:c r="A13" s="18" t="str">
        <x:v>T02</x:v>
      </x:c>
      <x:c r="B13" s="18" t="str">
        <x:v>Three full-system scenarios</x:v>
      </x:c>
      <x:c r="C13" s="18" t="str">
        <x:v>Needs team evidence</x:v>
      </x:c>
      <x:c r="D13" s="18" t="str"/>
      <x:c r="E13" s="18" t="str">
        <x:v>04_Evaluation/01_Three_End_to_End_Scenarios.docx</x:v>
      </x:c>
      <x:c r="F13" s="18" t="str">
        <x:v>One observed complicated case; document typical and refusal</x:v>
      </x:c>
    </x:row>
    <x:row r="14" ht="32" customHeight="1">
      <x:c r="A14" s="18" t="str">
        <x:v>E01</x:v>
      </x:c>
      <x:c r="B14" s="18" t="str">
        <x:v>Independent judge five-dimension rubric</x:v>
      </x:c>
      <x:c r="C14" s="18" t="str">
        <x:v>Verified demo</x:v>
      </x:c>
      <x:c r="D14" s="18" t="str"/>
      <x:c r="E14" s="18" t="str">
        <x:v>04_Evaluation/03_Evaluation_Test_Report_DRAFT.docx</x:v>
      </x:c>
      <x:c r="F14" s="18" t="str">
        <x:v>Preserve frozen pre-human-correction outputs</x:v>
      </x:c>
    </x:row>
    <x:row r="15" ht="32" customHeight="1">
      <x:c r="A15" s="18" t="str">
        <x:v>E02</x:v>
      </x:c>
      <x:c r="B15" s="18" t="str">
        <x:v>Two independent human reviewer scores</x:v>
      </x:c>
      <x:c r="C15" s="18" t="str">
        <x:v>Needs team evidence</x:v>
      </x:c>
      <x:c r="D15" s="18" t="str"/>
      <x:c r="E15" s="18" t="str">
        <x:v>04_Evaluation/02_Human_Judge_Calibration.xlsx</x:v>
      </x:c>
      <x:c r="F15" s="18" t="str">
        <x:v>Two non-builders score same scenarios</x:v>
      </x:c>
    </x:row>
    <x:row r="16" ht="32" customHeight="1">
      <x:c r="A16" s="18" t="str">
        <x:v>E03</x:v>
      </x:c>
      <x:c r="B16" s="18" t="str">
        <x:v>LangSmith QA checkpoint</x:v>
      </x:c>
      <x:c r="C16" s="18" t="str">
        <x:v>Verified demo</x:v>
      </x:c>
      <x:c r="D16" s="18" t="str"/>
      <x:c r="E16" s="18" t="str">
        <x:v>04_Evaluation/Evidence_Screenshots/EV07_LangSmith_Run.png</x:v>
      </x:c>
      <x:c r="F16" s="18" t="str">
        <x:v>Link exact runs to scenario IDs</x:v>
      </x:c>
    </x:row>
    <x:row r="17" ht="32" customHeight="1">
      <x:c r="A17" s="18" t="str">
        <x:v>E04</x:v>
      </x:c>
      <x:c r="B17" s="18" t="str">
        <x:v>Per-step LangSmith trace of each scenario</x:v>
      </x:c>
      <x:c r="C17" s="18" t="str">
        <x:v>Needs team evidence</x:v>
      </x:c>
      <x:c r="D17" s="18" t="str"/>
      <x:c r="E17" s="18" t="str">
        <x:v>04_Evaluation/03_Evaluation_Test_Report_DRAFT.docx</x:v>
      </x:c>
      <x:c r="F17" s="18" t="str">
        <x:v>Existing trace covers QA only; document scope/close gap</x:v>
      </x:c>
    </x:row>
    <x:row r="18" ht="32" customHeight="1">
      <x:c r="A18" s="18" t="str">
        <x:v>M01</x:v>
      </x:c>
      <x:c r="B18" s="18" t="str">
        <x:v>Monitoring metrics and one-page dashboard</x:v>
      </x:c>
      <x:c r="C18" s="18" t="str">
        <x:v>Draft ready</x:v>
      </x:c>
      <x:c r="D18" s="18" t="str"/>
      <x:c r="E18" s="18" t="str">
        <x:v>04_Evaluation/04_One_Page_Monitoring_Dashboard_DRAFT.pdf</x:v>
      </x:c>
      <x:c r="F18" s="18" t="str">
        <x:v>Refresh with measured KPI actuals</x:v>
      </x:c>
    </x:row>
    <x:row r="19" ht="32" customHeight="1">
      <x:c r="A19" s="18" t="str">
        <x:v>M02</x:v>
      </x:c>
      <x:c r="B19" s="18" t="str">
        <x:v>Soft alert and evidence</x:v>
      </x:c>
      <x:c r="C19" s="18" t="str">
        <x:v>Verified demo</x:v>
      </x:c>
      <x:c r="D19" s="18" t="str"/>
      <x:c r="E19" s="18" t="str">
        <x:v>04_Evaluation/Evidence_Screenshots/EV03_Soft_Alert.png</x:v>
      </x:c>
      <x:c r="F19" s="18" t="str">
        <x:v>Link to original execution</x:v>
      </x:c>
    </x:row>
    <x:row r="20" ht="32" customHeight="1">
      <x:c r="A20" s="18" t="str">
        <x:v>M03</x:v>
      </x:c>
      <x:c r="B20" s="18" t="str">
        <x:v>Hard pause alert working</x:v>
      </x:c>
      <x:c r="C20" s="18" t="str">
        <x:v>Needs team evidence</x:v>
      </x:c>
      <x:c r="D20" s="18" t="str"/>
      <x:c r="E20" s="18" t="str">
        <x:v>04_Evaluation/03_Evaluation_Test_Report_DRAFT.docx</x:v>
      </x:c>
      <x:c r="F20" s="18" t="str">
        <x:v>Record guideline-required proof of hard hold</x:v>
      </x:c>
    </x:row>
    <x:row r="21" ht="32" customHeight="1">
      <x:c r="A21" s="18" t="str">
        <x:v>L01</x:v>
      </x:c>
      <x:c r="B21" s="18" t="str">
        <x:v>A5 issue log with status / fix</x:v>
      </x:c>
      <x:c r="C21" s="18" t="str">
        <x:v>Draft ready</x:v>
      </x:c>
      <x:c r="D21" s="18" t="str"/>
      <x:c r="E21" s="18" t="str">
        <x:v>04_Evaluation/02_Human_Judge_Calibration.xlsx</x:v>
      </x:c>
      <x:c r="F21" s="18" t="str">
        <x:v>Validate statuses and assigned owners</x:v>
      </x:c>
    </x:row>
    <x:row r="22" ht="32" customHeight="1">
      <x:c r="A22" s="18" t="str">
        <x:v>L02</x:v>
      </x:c>
      <x:c r="B22" s="18" t="str">
        <x:v>Test Report and limitations</x:v>
      </x:c>
      <x:c r="C22" s="18" t="str">
        <x:v>Draft ready</x:v>
      </x:c>
      <x:c r="D22" s="18" t="str"/>
      <x:c r="E22" s="18" t="str">
        <x:v>04_Evaluation/03_Evaluation_Test_Report_DRAFT.docx</x:v>
      </x:c>
      <x:c r="F22" s="18" t="str">
        <x:v>Insert formal test outcomes, score comparisons, actual KPIs</x:v>
      </x:c>
    </x:row>
    <x:row r="23" ht="32" customHeight="1">
      <x:c r="A23" s="18" t="str">
        <x:v>P01</x:v>
      </x:c>
      <x:c r="B23" s="18" t="str">
        <x:v>Five-presenter slides and script</x:v>
      </x:c>
      <x:c r="C23" s="18" t="str">
        <x:v>Draft ready</x:v>
      </x:c>
      <x:c r="D23" s="18" t="str"/>
      <x:c r="E23" s="18" t="str">
        <x:v>05_Pitch/ResearchVoice_AI_Final_Business_Pitch_DRAFT.pptx</x:v>
      </x:c>
      <x:c r="F23" s="18" t="str">
        <x:v>Replace names, verify facts, rehearse</x:v>
      </x:c>
    </x:row>
    <x:row r="24" ht="32" customHeight="1">
      <x:c r="A24" s="18" t="str">
        <x:v>P02</x:v>
      </x:c>
      <x:c r="B24" s="18" t="str">
        <x:v>Backup recording of full synthetic run</x:v>
      </x:c>
      <x:c r="C24" s="18" t="str">
        <x:v>Needs team evidence</x:v>
      </x:c>
      <x:c r="D24" s="18" t="str"/>
      <x:c r="E24" s="18" t="str">
        <x:v>05_Pitch/03_Live_Demo_and_Backup_Runbook.docx</x:v>
      </x:c>
      <x:c r="F24" s="18" t="str">
        <x:v>Team must actually record and upload video</x:v>
      </x:c>
    </x:row>
    <x:row r="25" ht="32" customHeight="1">
      <x:c r="A25" s="18" t="str">
        <x:v>A01</x:v>
      </x:c>
      <x:c r="B25" s="18" t="str">
        <x:v>Five phase checkpoint approvals</x:v>
      </x:c>
      <x:c r="C25" s="18" t="str">
        <x:v>Awaiting approval</x:v>
      </x:c>
      <x:c r="D25" s="18" t="str"/>
      <x:c r="E25" s="18" t="str">
        <x:v>06_Approvals_and_Signoff/Team_and_Instructor_Signoff.docx</x:v>
      </x:c>
      <x:c r="F25" s="18" t="str">
        <x:v>Instructor reviews and signs checkpoint decisions</x:v>
      </x:c>
    </x:row>
    <x:row r="26" ht="32" customHeight="1">
      <x:c r="A26" s="18" t="str">
        <x:v>A02</x:v>
      </x:c>
      <x:c r="B26" s="18" t="str">
        <x:v>Final shared folder with submitted versions</x:v>
      </x:c>
      <x:c r="C26" s="18" t="str">
        <x:v>Draft ready</x:v>
      </x:c>
      <x:c r="D26" s="18" t="str"/>
      <x:c r="E26" s="18" t="str">
        <x:v>00_START_HERE/README_FINAL_SUBMISSION.md</x:v>
      </x:c>
      <x:c r="F26" s="18" t="str">
        <x:v>Collect signed / measured versions before submission</x:v>
      </x:c>
    </x:row>
  </x:sheetData>
  <x:mergeCells>
    <x:mergeCell ref="A1:F1"/>
    <x:mergeCell ref="A2:F2"/>
  </x:mergeCells>
  <x:conditionalFormatting sqref="C5:C26">
    <x:cfRule type="expression" dxfId="0" priority="1">
      <x:formula>C5="Verified demo"</x:formula>
    </x:cfRule>
    <x:cfRule type="expression" dxfId="1" priority="2">
      <x:formula>C5="Needs team evidence"</x:formula>
    </x:cfRule>
    <x:cfRule type="expression" dxfId="2" priority="3">
      <x:formula>C5="Awaiting approval"</x:formula>
    </x:cfRule>
  </x:conditionalFormatting>
  <x:dataValidations count="1">
    <x:dataValidation type="list" sqref="C5:C26">
      <x:formula1>"Verified demo,Draft ready,Needs team evidence,Awaiting approval,Final 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0" hidden="0" customWidth="1"/>
    <x:col min="3" max="3" width="28" hidden="0" customWidth="1"/>
    <x:col min="4" max="4" width="28" hidden="0" customWidth="1"/>
    <x:col min="5" max="5" width="31" hidden="0" customWidth="1"/>
    <x:col min="6" max="6" width="24" hidden="0" customWidth="1"/>
    <x:col min="7" max="7" width="26" hidden="0" customWidth="1"/>
  </x:cols>
  <x:sheetData>
    <x:row r="1" ht="34" customHeight="1">
      <x:c r="A1" s="20" t="str">
        <x:v>OWNER AND ROLE SIGN-OFF  |  INSTRUCTOR-APPROVED SINGLE-WORKFLOW EXCEPTION</x:v>
      </x:c>
      <x:c r="B1" s="20"/>
      <x:c r="C1" s="20"/>
      <x:c r="D1" s="20"/>
      <x:c r="E1" s="20"/>
      <x:c r="F1" s="20"/>
      <x:c r="G1" s="20"/>
    </x:row>
    <x:row r="3" ht="26" customHeight="1">
      <x:c r="A3" s="13" t="str">
        <x:v>Component</x:v>
      </x:c>
      <x:c r="B3" s="13" t="str">
        <x:v>Function</x:v>
      </x:c>
      <x:c r="C3" s="13" t="str">
        <x:v>Member name</x:v>
      </x:c>
      <x:c r="D3" s="13" t="str">
        <x:v>Own 5 tests documented?</x:v>
      </x:c>
      <x:c r="E3" s="13" t="str">
        <x:v>Own one-pager approved?</x:v>
      </x:c>
      <x:c r="F3" s="13" t="str">
        <x:v>Presenter slides</x:v>
      </x:c>
      <x:c r="G3" s="13" t="str">
        <x:v>Signature / date</x:v>
      </x:c>
    </x:row>
    <x:row r="4" ht="33" customHeight="1">
      <x:c r="A4" s="18" t="str">
        <x:v>C1</x:v>
      </x:c>
      <x:c r="B4" s="18" t="str">
        <x:v>Study and variable schema</x:v>
      </x:c>
      <x:c r="C4" s="18" t="str">
        <x:v>[ASSIGN]</x:v>
      </x:c>
      <x:c r="D4" s="18" t="str">
        <x:v>Pending</x:v>
      </x:c>
      <x:c r="E4" s="18" t="str">
        <x:v>Pending</x:v>
      </x:c>
      <x:c r="F4" s="18" t="str">
        <x:v>Slides 1–3</x:v>
      </x:c>
      <x:c r="G4" s="18" t="str"/>
    </x:row>
    <x:row r="5" ht="33" customHeight="1">
      <x:c r="A5" s="18" t="str">
        <x:v>C2</x:v>
      </x:c>
      <x:c r="B5" s="18" t="str">
        <x:v>Text/voice intake and privacy</x:v>
      </x:c>
      <x:c r="C5" s="18" t="str">
        <x:v>[ASSIGN]</x:v>
      </x:c>
      <x:c r="D5" s="18" t="str">
        <x:v>Pending</x:v>
      </x:c>
      <x:c r="E5" s="18" t="str">
        <x:v>Pending</x:v>
      </x:c>
      <x:c r="F5" s="18" t="str">
        <x:v>Slides 4–5</x:v>
      </x:c>
      <x:c r="G5" s="18" t="str"/>
    </x:row>
    <x:row r="6" ht="33" customHeight="1">
      <x:c r="A6" s="18" t="str">
        <x:v>C3</x:v>
      </x:c>
      <x:c r="B6" s="18" t="str">
        <x:v>Schema-constrained extraction</x:v>
      </x:c>
      <x:c r="C6" s="18" t="str">
        <x:v>[ASSIGN]</x:v>
      </x:c>
      <x:c r="D6" s="18" t="str">
        <x:v>Pending</x:v>
      </x:c>
      <x:c r="E6" s="18" t="str">
        <x:v>Pending</x:v>
      </x:c>
      <x:c r="F6" s="18" t="str">
        <x:v>Slide 6 + demo</x:v>
      </x:c>
      <x:c r="G6" s="18" t="str"/>
    </x:row>
    <x:row r="7" ht="33" customHeight="1">
      <x:c r="A7" s="18" t="str">
        <x:v>C4</x:v>
      </x:c>
      <x:c r="B7" s="18" t="str">
        <x:v>Independent QA, LangSmith, monitoring</x:v>
      </x:c>
      <x:c r="C7" s="18" t="str">
        <x:v>[ASSIGN]</x:v>
      </x:c>
      <x:c r="D7" s="18" t="str">
        <x:v>Pending</x:v>
      </x:c>
      <x:c r="E7" s="18" t="str">
        <x:v>Pending</x:v>
      </x:c>
      <x:c r="F7" s="18" t="str">
        <x:v>Slides 7–8</x:v>
      </x:c>
      <x:c r="G7" s="18" t="str"/>
    </x:row>
    <x:row r="8" ht="33" customHeight="1">
      <x:c r="A8" s="18" t="str">
        <x:v>C5</x:v>
      </x:c>
      <x:c r="B8" s="18" t="str">
        <x:v>Human approval and XLSX export</x:v>
      </x:c>
      <x:c r="C8" s="18" t="str">
        <x:v>[ASSIGN]</x:v>
      </x:c>
      <x:c r="D8" s="18" t="str">
        <x:v>Pending</x:v>
      </x:c>
      <x:c r="E8" s="18" t="str">
        <x:v>Pending</x:v>
      </x:c>
      <x:c r="F8" s="18" t="str">
        <x:v>Slides 9–12</x:v>
      </x:c>
      <x:c r="G8" s="18" t="str"/>
    </x:row>
    <x:row r="11">
      <x:c r="A11" s="13" t="str">
        <x:v>Shared role</x:v>
      </x:c>
      <x:c r="B11" s="13" t="str">
        <x:v>Assigned member</x:v>
      </x:c>
      <x:c r="C11" s="13" t="str">
        <x:v>Accepted on/date</x:v>
      </x:c>
    </x:row>
    <x:row r="12">
      <x:c r="A12" t="str">
        <x:v>Team Lead</x:v>
      </x:c>
      <x:c r="B12" t="str"/>
      <x:c r="C12" t="str"/>
    </x:row>
    <x:row r="13">
      <x:c r="A13" t="str">
        <x:v>Integration Owner</x:v>
      </x:c>
      <x:c r="B13" t="str"/>
      <x:c r="C13" t="str"/>
    </x:row>
    <x:row r="14">
      <x:c r="A14" t="str">
        <x:v>Evaluation Owner</x:v>
      </x:c>
      <x:c r="B14" t="str"/>
      <x:c r="C14" t="str"/>
    </x:row>
    <x:row r="16">
      <x:c r="A16" t="str">
        <x:v>Instructor exception proof: attach email/message or obtain explicit checkpoint confirmation.</x:v>
      </x:c>
    </x:row>
  </x:sheetData>
  <x:mergeCells>
    <x:mergeCell ref="A1:G1"/>
    <x:mergeCell ref="A16:G16"/>
  </x:mergeCells>
  <x:dataValidations count="1">
    <x:dataValidation type="list" sqref="D4:E8">
      <x:formula1>"Pending,In progress,Completed and checked"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22" hidden="0" customWidth="1"/>
    <x:col min="4" max="4" width="24" hidden="0" customWidth="1"/>
    <x:col min="5" max="5" width="18" hidden="0" customWidth="1"/>
    <x:col min="6" max="6" width="65" hidden="0" customWidth="1"/>
  </x:cols>
  <x:sheetData>
    <x:row r="1" ht="34" customHeight="1">
      <x:c r="A1" s="22" t="str">
        <x:v>DEPI INSTRUCTOR CHECKPOINT REGISTER</x:v>
      </x:c>
      <x:c r="B1" s="22"/>
      <x:c r="C1" s="22"/>
      <x:c r="D1" s="22"/>
      <x:c r="E1" s="22"/>
      <x:c r="F1" s="22"/>
    </x:row>
    <x:row r="3" ht="26" customHeight="1">
      <x:c r="A3" s="13" t="str">
        <x:v>Phase</x:v>
      </x:c>
      <x:c r="B3" s="13" t="str">
        <x:v>Deliverable</x:v>
      </x:c>
      <x:c r="C3" s="13" t="str">
        <x:v>Team ready?</x:v>
      </x:c>
      <x:c r="D3" s="13" t="str">
        <x:v>Instructor decision</x:v>
      </x:c>
      <x:c r="E3" s="13" t="str">
        <x:v>Date</x:v>
      </x:c>
      <x:c r="F3" s="13" t="str">
        <x:v>Instructor feedback / required revisions</x:v>
      </x:c>
    </x:row>
    <x:row r="4" ht="38" customHeight="1">
      <x:c r="A4" s="18" t="str">
        <x:v>1 — Business</x:v>
      </x:c>
      <x:c r="B4" s="18" t="str">
        <x:v>One-page Business Brief</x:v>
      </x:c>
      <x:c r="C4" s="18" t="str">
        <x:v>Draft only</x:v>
      </x:c>
      <x:c r="D4" s="18" t="str">
        <x:v>Pending</x:v>
      </x:c>
      <x:c r="E4" s="18" t="str"/>
      <x:c r="F4" s="18" t="str"/>
    </x:row>
    <x:row r="5" ht="38" customHeight="1">
      <x:c r="A5" s="18" t="str">
        <x:v>2 — Design</x:v>
      </x:c>
      <x:c r="B5" s="18" t="str">
        <x:v>Feature list, five cards, map, safety &amp; evaluation plans</x:v>
      </x:c>
      <x:c r="C5" s="18" t="str">
        <x:v>Draft only</x:v>
      </x:c>
      <x:c r="D5" s="18" t="str">
        <x:v>Pending</x:v>
      </x:c>
      <x:c r="E5" s="18" t="str"/>
      <x:c r="F5" s="18" t="str"/>
    </x:row>
    <x:row r="6" ht="38" customHeight="1">
      <x:c r="A6" s="18" t="str">
        <x:v>3 — Build</x:v>
      </x:c>
      <x:c r="B6" s="18" t="str">
        <x:v>Five owner one-pagers, n8n export, case records</x:v>
      </x:c>
      <x:c r="C6" s="18" t="str">
        <x:v>Draft only</x:v>
      </x:c>
      <x:c r="D6" s="18" t="str">
        <x:v>Pending</x:v>
      </x:c>
      <x:c r="E6" s="18" t="str"/>
      <x:c r="F6" s="18" t="str"/>
    </x:row>
    <x:row r="7" ht="38" customHeight="1">
      <x:c r="A7" s="18" t="str">
        <x:v>4 — Evaluate</x:v>
      </x:c>
      <x:c r="B7" s="18" t="str">
        <x:v>Scenarios, tests, LangSmith, dashboard, calibration, KPIs, video</x:v>
      </x:c>
      <x:c r="C7" s="18" t="str">
        <x:v>Partial</x:v>
      </x:c>
      <x:c r="D7" s="18" t="str">
        <x:v>Pending</x:v>
      </x:c>
      <x:c r="E7" s="18" t="str"/>
      <x:c r="F7" s="18" t="str"/>
    </x:row>
    <x:row r="8" ht="38" customHeight="1">
      <x:c r="A8" s="18" t="str">
        <x:v>5 — Pitch</x:v>
      </x:c>
      <x:c r="B8" s="18" t="str">
        <x:v>Slides, live demo, all five members speaking</x:v>
      </x:c>
      <x:c r="C8" s="18" t="str">
        <x:v>Draft only</x:v>
      </x:c>
      <x:c r="D8" s="18" t="str">
        <x:v>Pending</x:v>
      </x:c>
      <x:c r="E8" s="18" t="str"/>
      <x:c r="F8" s="18" t="str"/>
    </x:row>
  </x:sheetData>
  <x:mergeCells>
    <x:mergeCell ref="A1:F1"/>
  </x:mergeCells>
  <x:dataValidations count="1">
    <x:dataValidation type="list" sqref="D4:D8">
      <x:formula1>"Pending,Approved,Needs revisions,Not applicable by written exception"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9" hidden="0" customWidth="1"/>
    <x:col min="3" max="3" width="28" hidden="0" customWidth="1"/>
    <x:col min="4" max="4" width="64" hidden="0" customWidth="1"/>
    <x:col min="5" max="5" width="27" hidden="0" customWidth="1"/>
    <x:col min="6" max="6" width="43" hidden="0" customWidth="1"/>
  </x:cols>
  <x:sheetData>
    <x:row r="1" ht="34" customHeight="1">
      <x:c r="A1" s="22" t="str">
        <x:v>EXISTING OBSERVED EVIDENCE  |  SYNTHETIC CASES ONLY</x:v>
      </x:c>
      <x:c r="B1" s="22"/>
      <x:c r="C1" s="22"/>
      <x:c r="D1" s="22"/>
      <x:c r="E1" s="22"/>
      <x:c r="F1" s="22"/>
    </x:row>
    <x:row r="3" ht="28" customHeight="1">
      <x:c r="A3" s="13" t="str">
        <x:v>Exhibit</x:v>
      </x:c>
      <x:c r="B3" s="13" t="str">
        <x:v>Claim evidenced</x:v>
      </x:c>
      <x:c r="C3" s="13" t="str">
        <x:v>Scope</x:v>
      </x:c>
      <x:c r="D3" s="13" t="str">
        <x:v>Source file</x:v>
      </x:c>
      <x:c r="E3" s="13" t="str">
        <x:v>Evidence strength</x:v>
      </x:c>
      <x:c r="F3" s="13" t="str">
        <x:v>Remaining need</x:v>
      </x:c>
    </x:row>
    <x:row r="4" ht="36" customHeight="1">
      <x:c r="A4" s="18" t="str">
        <x:v>EV01</x:v>
      </x:c>
      <x:c r="B4" s="18" t="str">
        <x:v>Study/schema creation and approval</x:v>
      </x:c>
      <x:c r="C4" s="18" t="str">
        <x:v>Oct 26 joint demo</x:v>
      </x:c>
      <x:c r="D4" s="18" t="str">
        <x:v>04_Evaluation/Evidence_Screenshots/EV01_Study_Schema.png</x:v>
      </x:c>
      <x:c r="E4" s="18" t="str">
        <x:v>Observed screenshot</x:v>
      </x:c>
      <x:c r="F4" s="18" t="str">
        <x:v>Owner run reference</x:v>
      </x:c>
    </x:row>
    <x:row r="5" ht="36" customHeight="1">
      <x:c r="A5" s="18" t="str">
        <x:v>EV02</x:v>
      </x:c>
      <x:c r="B5" s="18" t="str">
        <x:v>Voice → transcription confirmation</x:v>
      </x:c>
      <x:c r="C5" s="18" t="str">
        <x:v>Oct 26 joint demo</x:v>
      </x:c>
      <x:c r="D5" s="18" t="str">
        <x:v>04_Evaluation/Evidence_Screenshots/EV02_Voice_Transcript.png</x:v>
      </x:c>
      <x:c r="E5" s="18" t="str">
        <x:v>Observed screenshot</x:v>
      </x:c>
      <x:c r="F5" s="18" t="str">
        <x:v>Link execution ID</x:v>
      </x:c>
    </x:row>
    <x:row r="6" ht="36" customHeight="1">
      <x:c r="A6" s="18" t="str">
        <x:v>EV03</x:v>
      </x:c>
      <x:c r="B6" s="18" t="str">
        <x:v>Mismatch produced soft alert</x:v>
      </x:c>
      <x:c r="C6" s="18" t="str">
        <x:v>Oct 26 joint demo</x:v>
      </x:c>
      <x:c r="D6" s="18" t="str">
        <x:v>04_Evaluation/Evidence_Screenshots/EV03_Soft_Alert.png</x:v>
      </x:c>
      <x:c r="E6" s="18" t="str">
        <x:v>Observed screenshot</x:v>
      </x:c>
      <x:c r="F6" s="18" t="str">
        <x:v>Link soft-alert execution</x:v>
      </x:c>
    </x:row>
    <x:row r="7" ht="36" customHeight="1">
      <x:c r="A7" s="18" t="str">
        <x:v>EV04</x:v>
      </x:c>
      <x:c r="B7" s="18" t="str">
        <x:v>Manual correction and XLSX delivery</x:v>
      </x:c>
      <x:c r="C7" s="18" t="str">
        <x:v>Oct 26 joint demo</x:v>
      </x:c>
      <x:c r="D7" s="18" t="str">
        <x:v>04_Evaluation/Evidence_Screenshots/EV04_Corrected_Export.png</x:v>
      </x:c>
      <x:c r="E7" s="18" t="str">
        <x:v>Observed screenshot</x:v>
      </x:c>
      <x:c r="F7" s="18" t="str">
        <x:v>Keep actual approved test XLSX</x:v>
      </x:c>
    </x:row>
    <x:row r="8" ht="36" customHeight="1">
      <x:c r="A8" s="18" t="str">
        <x:v>EV05</x:v>
      </x:c>
      <x:c r="B8" s="18" t="str">
        <x:v>/eval 4.6/5 and /monitor rolling counters</x:v>
      </x:c>
      <x:c r="C8" s="18" t="str">
        <x:v>Single synthetic case</x:v>
      </x:c>
      <x:c r="D8" s="18" t="str">
        <x:v>04_Evaluation/Evidence_Screenshots/EV05_Eval_Monitor.png</x:v>
      </x:c>
      <x:c r="E8" s="18" t="str">
        <x:v>Observed screenshot</x:v>
      </x:c>
      <x:c r="F8" s="18" t="str">
        <x:v>Not a clinical accuracy benchmark</x:v>
      </x:c>
    </x:row>
    <x:row r="9" ht="36" customHeight="1">
      <x:c r="A9" s="18" t="str">
        <x:v>EV06</x:v>
      </x:c>
      <x:c r="B9" s="18" t="str">
        <x:v>Successful published n8n execution</x:v>
      </x:c>
      <x:c r="C9" s="18" t="str">
        <x:v>Oct 26 joint demo</x:v>
      </x:c>
      <x:c r="D9" s="18" t="str">
        <x:v>04_Evaluation/Evidence_Screenshots/EV06_Execution_Canvas.png</x:v>
      </x:c>
      <x:c r="E9" s="18" t="str">
        <x:v>Observed screenshot</x:v>
      </x:c>
      <x:c r="F9" s="18" t="str">
        <x:v>Owner sign-off</x:v>
      </x:c>
    </x:row>
    <x:row r="10" ht="36" customHeight="1">
      <x:c r="A10" s="18" t="str">
        <x:v>EV07</x:v>
      </x:c>
      <x:c r="B10" s="18" t="str">
        <x:v>LangSmith QA trace shown in UI</x:v>
      </x:c>
      <x:c r="C10" s="18" t="str">
        <x:v>QA checkpoint only</x:v>
      </x:c>
      <x:c r="D10" s="18" t="str">
        <x:v>04_Evaluation/Evidence_Screenshots/EV07_LangSmith_Run.png</x:v>
      </x:c>
      <x:c r="E10" s="18" t="str">
        <x:v>Observed screenshot</x:v>
      </x:c>
      <x:c r="F10" s="18" t="str">
        <x:v>Per-stage traces missing</x:v>
      </x:c>
    </x:row>
    <x:row r="11" ht="36" customHeight="1">
      <x:c r="A11" s="18" t="str">
        <x:v>OUT01</x:v>
      </x:c>
      <x:c r="B11" s="18" t="str">
        <x:v>Monitoring JSON: soft / unresolved_extraction_issues / 10490ms</x:v>
      </x:c>
      <x:c r="C11" s="18" t="str">
        <x:v>Reported output</x:v>
      </x:c>
      <x:c r="D11" s="18" t="str">
        <x:v>04_Evaluation/Observed_Run_Excerpt.md</x:v>
      </x:c>
      <x:c r="E11" s="18" t="str">
        <x:v>User-provided JSON</x:v>
      </x:c>
      <x:c r="F11" s="18" t="str">
        <x:v>Original execution link</x:v>
      </x:c>
    </x:row>
    <x:row r="12" ht="36" customHeight="1">
      <x:c r="A12" s="18" t="str">
        <x:v>OUT02</x:v>
      </x:c>
      <x:c r="B12" s="18" t="str">
        <x:v>LangSmith ingestion: Run created</x:v>
      </x:c>
      <x:c r="C12" s="18" t="str">
        <x:v>Reported output</x:v>
      </x:c>
      <x:c r="D12" s="18" t="str">
        <x:v>04_Evaluation/Observed_Run_Excerpt.md</x:v>
      </x:c>
      <x:c r="E12" s="18" t="str">
        <x:v>User-provided JSON</x:v>
      </x:c>
      <x:c r="F12" s="18" t="str">
        <x:v>Original LangSmith run link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3" hidden="0" customWidth="1"/>
    <x:col min="3" max="3" width="28" hidden="0" customWidth="1"/>
    <x:col min="4" max="4" width="28" hidden="0" customWidth="1"/>
  </x:cols>
  <x:sheetData>
    <x:row r="1" ht="38" customHeight="1">
      <x:c r="A1" s="24" t="str">
        <x:v>SUBMISSION DECISION  |  DRAFT ONLY</x:v>
      </x:c>
      <x:c r="B1" s="24"/>
      <x:c r="C1" s="24"/>
      <x:c r="D1" s="24"/>
    </x:row>
    <x:row r="2" ht="28" customHeight="1">
      <x:c r="A2" s="9" t="str">
        <x:v>Final sign-off is NOT complete. Rows are prefilled with only documented status.</x:v>
      </x:c>
      <x:c r="B2" s="9"/>
      <x:c r="C2" s="9"/>
      <x:c r="D2" s="9"/>
    </x:row>
    <x:row r="4" ht="30" customHeight="1">
      <x:c r="A4" s="26" t="str">
        <x:v>Total items</x:v>
      </x:c>
      <x:c r="B4" t="n">
        <x:v>22</x:v>
      </x:c>
    </x:row>
    <x:row r="5" ht="30" customHeight="1">
      <x:c r="A5" s="26" t="str">
        <x:v>Verified demos</x:v>
      </x:c>
      <x:c r="B5" t="n">
        <x:f>COUNTIF(Readiness!C5:C26,"Verified demo")</x:f>
        <x:v>4</x:v>
      </x:c>
    </x:row>
    <x:row r="6" ht="30" customHeight="1">
      <x:c r="A6" s="26" t="str">
        <x:v>Draft ready</x:v>
      </x:c>
      <x:c r="B6" t="n">
        <x:f>COUNTIF(Readiness!C5:C26,"Draft ready")</x:f>
        <x:v>8</x:v>
      </x:c>
    </x:row>
    <x:row r="7" ht="30" customHeight="1">
      <x:c r="A7" s="26" t="str">
        <x:v>Needs team evidence</x:v>
      </x:c>
      <x:c r="B7" t="n">
        <x:f>COUNTIF(Readiness!C5:C26,"Needs team evidence")</x:f>
        <x:v>8</x:v>
      </x:c>
    </x:row>
    <x:row r="8" ht="30" customHeight="1">
      <x:c r="A8" s="26" t="str">
        <x:v>Awaiting approval</x:v>
      </x:c>
      <x:c r="B8" t="n">
        <x:f>COUNTIF(Readiness!C5:C26,"Awaiting approval")</x:f>
        <x:v>2</x:v>
      </x:c>
    </x:row>
    <x:row r="11" ht="28" customHeight="1">
      <x:c r="A11" s="13" t="str">
        <x:v>REQUIRED BEFORE THE TEAM CAN CALL THIS FINAL</x:v>
      </x:c>
      <x:c r="B11" s="13"/>
      <x:c r="C11" s="13"/>
      <x:c r="D11" s="13"/>
    </x:row>
    <x:row r="12" ht="27" customHeight="1">
      <x:c r="A12" t="str">
        <x:v>1  Enter five owner names, three shared roles and owner signatures.</x:v>
      </x:c>
    </x:row>
    <x:row r="13" ht="27" customHeight="1">
      <x:c r="A13" t="str">
        <x:v>2  Complete the 25 case records and three end-to-end scenario outcomes.</x:v>
      </x:c>
    </x:row>
    <x:row r="14" ht="27" customHeight="1">
      <x:c r="A14" t="str">
        <x:v>3  Two independent human reviewers must score frozen model outputs.</x:v>
      </x:c>
    </x:row>
    <x:row r="15" ht="27" customHeight="1">
      <x:c r="A15" t="str">
        <x:v>4  Measure KPI actuals; do not use planning assumptions as results.</x:v>
      </x:c>
    </x:row>
    <x:row r="16" ht="27" customHeight="1">
      <x:c r="A16" t="str">
        <x:v>5  Confirm required LangSmith trace coverage and hard-hold behavior.</x:v>
      </x:c>
    </x:row>
    <x:row r="17" ht="27" customHeight="1">
      <x:c r="A17" t="str">
        <x:v>6  Record the actual backup demo video; add its filename.</x:v>
      </x:c>
    </x:row>
    <x:row r="18" ht="27" customHeight="1">
      <x:c r="A18" t="str">
        <x:v>7  Obtain instructor checkpoint approvals and verify slide claims.</x:v>
      </x:c>
    </x:row>
    <x:row r="19" ht="27" customHeight="1">
      <x:c r="A19" t="str">
        <x:v>8  Replace DRAFT files with signed, measured final versions.</x:v>
      </x:c>
    </x:row>
  </x:sheetData>
  <x:mergeCells>
    <x:mergeCell ref="A1:D1"/>
    <x:mergeCell ref="A2:D2"/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</x:mergeCells>
  <x:pageMargins left="0.7" right="0.7" top="0.75" bottom="0.75" header="0.3" footer="0.3"/>
</x:worksheet>
</file>